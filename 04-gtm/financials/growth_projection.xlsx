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c4847fddb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cted Case" sheetId="1" r:id="R5cb02306648c4a8e"/>
    <x:sheet xmlns:r="http://schemas.openxmlformats.org/officeDocument/2006/relationships" name="Best Case" sheetId="2" r:id="Rf8d202f60ed24859"/>
    <x:sheet xmlns:r="http://schemas.openxmlformats.org/officeDocument/2006/relationships" name="Worst Case" sheetId="3" r:id="R45942781688d405e"/>
    <x:sheet xmlns:r="http://schemas.openxmlformats.org/officeDocument/2006/relationships" name="Assumptions" sheetId="4" r:id="R470e1527301d4d07"/>
    <x:sheet xmlns:r="http://schemas.openxmlformats.org/officeDocument/2006/relationships" name="Dashboard" sheetId="5" r:id="Re3a8e6e123c5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$#,##0.00"/>
    <x:numFmt numFmtId="202" formatCode="#,##0"/>
    <x:numFmt numFmtId="203" formatCode="#,##0.0"/>
    <x:numFmt numFmtId="204" formatCode="0%"/>
    <x:numFmt numFmtId="205" formatCode="0.00"/>
  </x:numFmts>
  <x:fonts count="9">
    <x:font>
      <x:sz val="11"/>
      <x:name val="Carlito"/>
    </x:font>
    <x:font>
      <x:b/>
      <x:sz val="16"/>
      <x:color rgb="FFFFFF"/>
      <x:name val="Carlito"/>
    </x:font>
    <x:font>
      <x:i/>
      <x:sz val="10"/>
      <x:color rgb="1F2937"/>
      <x:name val="Carlito"/>
    </x:font>
    <x:font>
      <x:b/>
      <x:sz val="10"/>
      <x:color rgb="0F3D2E"/>
      <x:name val="Carlito"/>
    </x:font>
    <x:font>
      <x:b/>
      <x:sz val="10"/>
      <x:color rgb="FFFFFF"/>
      <x:name val="Carlito"/>
    </x:font>
    <x:font>
      <x:sz val="9"/>
      <x:color rgb="1F2937"/>
      <x:name val="Carlito"/>
    </x:font>
    <x:font>
      <x:b/>
      <x:sz val="9"/>
      <x:color rgb="0F3D2E"/>
      <x:name val="Carlito"/>
    </x:font>
    <x:font>
      <x:b/>
      <x:sz val="11"/>
      <x:color rgb="1F2937"/>
      <x:name val="Carlito"/>
    </x:font>
    <x:font>
      <x:sz val="10"/>
      <x:color rgb="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3D2E"/>
      </x:patternFill>
    </x:fill>
    <x:fill>
      <x:patternFill patternType="solid">
        <x:fgColor rgb="FFF9F2"/>
      </x:patternFill>
    </x:fill>
    <x:fill>
      <x:patternFill patternType="solid">
        <x:fgColor rgb="EAF7F0"/>
      </x:patternFill>
    </x:fill>
    <x:fill>
      <x:patternFill patternType="solid">
        <x:fgColor rgb="F4E7B5"/>
      </x:patternFill>
    </x:fill>
  </x:fills>
  <x:borders count="2">
    <x:border/>
    <x:border/>
  </x:borders>
  <x:cellStyleXfs count="1">
    <x:xf numFmtId="0" fontId="0" fillId="0" borderId="0"/>
  </x:cellStyleXfs>
  <x:cellXfs count="1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0" fontId="6" fillId="4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5" fillId="3" borderId="1" xfId="0" applyNumberFormat="1" applyFont="1" applyFill="1" applyBorder="1" applyAlignment="1">
      <x:alignment vertical="top" wrapText="1"/>
    </x:xf>
    <x:xf numFmtId="200" fontId="6" fillId="4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 wrapText="1"/>
    </x:xf>
    <x:xf numFmtId="201" fontId="6" fillId="4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1" fontId="5" fillId="3" borderId="1" xfId="0" applyNumberFormat="1" applyFont="1" applyFill="1" applyBorder="1" applyAlignment="1">
      <x:alignment vertical="top" wrapText="1"/>
    </x:xf>
    <x:xf numFmtId="201" fontId="6" fillId="4" borderId="1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2" fontId="5" fillId="3" borderId="0" xfId="0" applyNumberFormat="1" applyFont="1" applyFill="1" applyBorder="1" applyAlignment="1">
      <x:alignment vertical="top" wrapText="1"/>
    </x:xf>
    <x:xf numFmtId="202" fontId="6" fillId="4" borderId="0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202" fontId="5" fillId="3" borderId="1" xfId="0" applyNumberFormat="1" applyFont="1" applyFill="1" applyBorder="1" applyAlignment="1">
      <x:alignment vertical="top" wrapText="1"/>
    </x:xf>
    <x:xf numFmtId="202" fontId="6" fillId="4" borderId="1" xfId="0" applyNumberFormat="1" applyFont="1" applyFill="1" applyBorder="1" applyAlignment="1">
      <x:alignment vertical="top" wrapText="1"/>
    </x:xf>
    <x:xf numFmtId="203" fontId="5" fillId="0" borderId="0" xfId="0" applyNumberFormat="1" applyFont="1" applyFill="1" applyBorder="1" applyAlignment="1">
      <x:alignment vertical="top" wrapText="1"/>
    </x:xf>
    <x:xf numFmtId="203" fontId="5" fillId="3" borderId="0" xfId="0" applyNumberFormat="1" applyFont="1" applyFill="1" applyBorder="1" applyAlignment="1">
      <x:alignment vertical="top" wrapText="1"/>
    </x:xf>
    <x:xf numFmtId="203" fontId="6" fillId="4" borderId="0" xfId="0" applyNumberFormat="1" applyFont="1" applyFill="1" applyBorder="1" applyAlignment="1">
      <x:alignment vertical="top" wrapText="1"/>
    </x:xf>
    <x:xf numFmtId="203" fontId="5" fillId="0" borderId="1" xfId="0" applyNumberFormat="1" applyFont="1" applyFill="1" applyBorder="1" applyAlignment="1">
      <x:alignment vertical="top" wrapText="1"/>
    </x:xf>
    <x:xf numFmtId="203" fontId="5" fillId="3" borderId="1" xfId="0" applyNumberFormat="1" applyFont="1" applyFill="1" applyBorder="1" applyAlignment="1">
      <x:alignment vertical="top" wrapText="1"/>
    </x:xf>
    <x:xf numFmtId="203" fontId="6" fillId="4" borderId="1" xfId="0" applyNumberFormat="1" applyFont="1" applyFill="1" applyBorder="1" applyAlignment="1">
      <x:alignment vertical="top" wrapText="1"/>
    </x:xf>
    <x:xf numFmtId="204" fontId="5" fillId="0" borderId="0" xfId="0" applyNumberFormat="1" applyFont="1" applyFill="1" applyBorder="1" applyAlignment="1">
      <x:alignment vertical="top" wrapText="1"/>
    </x:xf>
    <x:xf numFmtId="204" fontId="5" fillId="3" borderId="0" xfId="0" applyNumberFormat="1" applyFont="1" applyFill="1" applyBorder="1" applyAlignment="1">
      <x:alignment vertical="top" wrapText="1"/>
    </x:xf>
    <x:xf numFmtId="204" fontId="6" fillId="4" borderId="0" xfId="0" applyNumberFormat="1" applyFont="1" applyFill="1" applyBorder="1" applyAlignment="1">
      <x:alignment vertical="top" wrapText="1"/>
    </x:xf>
    <x:xf numFmtId="204" fontId="5" fillId="0" borderId="1" xfId="0" applyNumberFormat="1" applyFont="1" applyFill="1" applyBorder="1" applyAlignment="1">
      <x:alignment vertical="top" wrapText="1"/>
    </x:xf>
    <x:xf numFmtId="204" fontId="5" fillId="3" borderId="1" xfId="0" applyNumberFormat="1" applyFont="1" applyFill="1" applyBorder="1" applyAlignment="1">
      <x:alignment vertical="top" wrapText="1"/>
    </x:xf>
    <x:xf numFmtId="204" fontId="6" fillId="4" borderId="1" xfId="0" applyNumberFormat="1" applyFont="1" applyFill="1" applyBorder="1" applyAlignment="1">
      <x:alignment vertical="top" wrapText="1"/>
    </x:xf>
    <x:xf numFmtId="205" fontId="5" fillId="0" borderId="0" xfId="0" applyNumberFormat="1" applyFont="1" applyFill="1" applyBorder="1" applyAlignment="1">
      <x:alignment vertical="top" wrapText="1"/>
    </x:xf>
    <x:xf numFmtId="205" fontId="5" fillId="3" borderId="0" xfId="0" applyNumberFormat="1" applyFont="1" applyFill="1" applyBorder="1" applyAlignment="1">
      <x:alignment vertical="top" wrapText="1"/>
    </x:xf>
    <x:xf numFmtId="205" fontId="6" fillId="4" borderId="0" xfId="0" applyNumberFormat="1" applyFont="1" applyFill="1" applyBorder="1" applyAlignment="1">
      <x:alignment vertical="top" wrapText="1"/>
    </x:xf>
    <x:xf numFmtId="205" fontId="5" fillId="0" borderId="1" xfId="0" applyNumberFormat="1" applyFont="1" applyFill="1" applyBorder="1" applyAlignment="1">
      <x:alignment vertical="top" wrapText="1"/>
    </x:xf>
    <x:xf numFmtId="205" fontId="5" fillId="3" borderId="1" xfId="0" applyNumberFormat="1" applyFont="1" applyFill="1" applyBorder="1" applyAlignment="1">
      <x:alignment vertical="top" wrapText="1"/>
    </x:xf>
    <x:xf numFmtId="205" fontId="6" fillId="4" borderId="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203" fontId="7" fillId="4" borderId="0" xfId="0" applyNumberFormat="1" applyFont="1" applyFill="1" applyBorder="1"/>
    <x:xf numFmtId="203" fontId="7" fillId="4" borderId="1" xfId="0" applyNumberFormat="1" applyFont="1" applyFill="1" applyBorder="1"/>
    <x:xf numFmtId="201" fontId="7" fillId="4" borderId="0" xfId="0" applyNumberFormat="1" applyFont="1" applyFill="1" applyBorder="1"/>
    <x:xf numFmtId="201" fontId="7" fillId="4" borderId="1" xfId="0" applyNumberFormat="1" applyFont="1" applyFill="1" applyBorder="1"/>
    <x:xf numFmtId="202" fontId="7" fillId="4" borderId="0" xfId="0" applyNumberFormat="1" applyFont="1" applyFill="1" applyBorder="1"/>
    <x:xf numFmtId="202" fontId="7" fillId="4" borderId="1" xfId="0" applyNumberFormat="1" applyFont="1" applyFill="1" applyBorder="1"/>
    <x:xf numFmtId="200" fontId="7" fillId="4" borderId="0" xfId="0" applyNumberFormat="1" applyFont="1" applyFill="1" applyBorder="1"/>
    <x:xf numFmtId="200" fontId="7" fillId="4" borderId="1" xfId="0" applyNumberFormat="1" applyFont="1" applyFill="1" applyBorder="1"/>
    <x:xf numFmtId="205" fontId="7" fillId="4" borderId="0" xfId="0" applyNumberFormat="1" applyFont="1" applyFill="1" applyBorder="1"/>
    <x:xf numFmtId="205" fontId="7" fillId="4" borderId="1" xfId="0" applyNumberFormat="1" applyFont="1" applyFill="1" applyBorder="1"/>
    <x:xf numFmtId="204" fontId="5" fillId="0" borderId="0" xfId="0" applyNumberFormat="1" applyFont="1" applyFill="1" applyBorder="1" applyAlignment="1">
      <x:alignment wrapText="1"/>
    </x:xf>
    <x:xf numFmtId="204" fontId="5" fillId="0" borderId="1" xfId="0" applyNumberFormat="1" applyFont="1" applyFill="1" applyBorder="1" applyAlignment="1">
      <x:alignment wrapText="1"/>
    </x:xf>
    <x:xf numFmtId="205" fontId="5" fillId="0" borderId="0" xfId="0" applyNumberFormat="1" applyFont="1" applyFill="1" applyBorder="1" applyAlignment="1">
      <x:alignment wrapText="1"/>
    </x:xf>
    <x:xf numFmtId="205" fontId="5" fillId="0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3" fontId="8" fillId="4" borderId="0" xfId="0" applyNumberFormat="1" applyFont="1" applyFill="1" applyBorder="1"/>
    <x:xf numFmtId="203" fontId="8" fillId="4" borderId="1" xfId="0" applyNumberFormat="1" applyFont="1" applyFill="1" applyBorder="1"/>
    <x:xf numFmtId="201" fontId="8" fillId="4" borderId="0" xfId="0" applyNumberFormat="1" applyFont="1" applyFill="1" applyBorder="1"/>
    <x:xf numFmtId="201" fontId="8" fillId="4" borderId="1" xfId="0" applyNumberFormat="1" applyFont="1" applyFill="1" applyBorder="1"/>
    <x:xf numFmtId="202" fontId="8" fillId="4" borderId="0" xfId="0" applyNumberFormat="1" applyFont="1" applyFill="1" applyBorder="1"/>
    <x:xf numFmtId="202" fontId="8" fillId="4" borderId="1" xfId="0" applyNumberFormat="1" applyFont="1" applyFill="1" applyBorder="1"/>
    <x:xf numFmtId="200" fontId="8" fillId="4" borderId="0" xfId="0" applyNumberFormat="1" applyFont="1" applyFill="1" applyBorder="1"/>
    <x:xf numFmtId="200" fontId="8" fillId="4" borderId="1" xfId="0" applyNumberFormat="1" applyFont="1" applyFill="1" applyBorder="1"/>
    <x:xf numFmtId="205" fontId="8" fillId="4" borderId="0" xfId="0" applyNumberFormat="1" applyFont="1" applyFill="1" applyBorder="1"/>
    <x:xf numFmtId="205" fontId="8" fillId="4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202" fontId="5" fillId="4" borderId="0" xfId="0" applyNumberFormat="1" applyFont="1" applyFill="1" applyBorder="1"/>
    <x:xf numFmtId="202" fontId="5" fillId="4" borderId="1" xfId="0" applyNumberFormat="1" applyFont="1" applyFill="1" applyBorder="1"/>
    <x:xf numFmtId="203" fontId="5" fillId="4" borderId="0" xfId="0" applyNumberFormat="1" applyFont="1" applyFill="1" applyBorder="1"/>
    <x:xf numFmtId="203" fontId="5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62a1e85e746f4" /><Relationship Type="http://schemas.openxmlformats.org/officeDocument/2006/relationships/theme" Target="/xl/theme/theme1.xml" Id="Rcb7d62f4ac69482a" /><Relationship Type="http://schemas.openxmlformats.org/officeDocument/2006/relationships/sharedStrings" Target="/xl/sharedStrings.xml" Id="R1a95fad80f5c473f" /><Relationship Type="http://schemas.openxmlformats.org/officeDocument/2006/relationships/worksheet" Target="/xl/worksheets/sheet1.xml" Id="R5cb02306648c4a8e" /><Relationship Type="http://schemas.openxmlformats.org/officeDocument/2006/relationships/worksheet" Target="/xl/worksheets/sheet2.xml" Id="Rf8d202f60ed24859" /><Relationship Type="http://schemas.openxmlformats.org/officeDocument/2006/relationships/worksheet" Target="/xl/worksheets/sheet3.xml" Id="R45942781688d405e" /><Relationship Type="http://schemas.openxmlformats.org/officeDocument/2006/relationships/worksheet" Target="/xl/worksheets/sheet4.xml" Id="R470e1527301d4d07" /><Relationship Type="http://schemas.openxmlformats.org/officeDocument/2006/relationships/worksheet" Target="/xl/worksheets/sheet5.xml" Id="Re3a8e6e123c546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af9e1e55f74e30" /><Relationship Type="http://schemas.openxmlformats.org/officeDocument/2006/relationships/chart" Target="/xl/drawings/charts/chart2.xml" Id="R4411d5eeaddc4ca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Expected Case</c:v>
          </c:tx>
          <c:cat>
            <c:strRef>
              <c:f>'Dashboard'!$B$15:$G$15</c:f>
              <c:strCache>
                <c:ptCount val="0"/>
              </c:strCache>
            </c:strRef>
          </c:cat>
          <c:val>
            <c:numRef>
              <c:f>'Dashboard'!$B$16:$G$16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Best Case</c:v>
          </c:tx>
          <c:cat>
            <c:strRef>
              <c:f>'Dashboard'!$B$15:$G$15</c:f>
              <c:strCache>
                <c:ptCount val="0"/>
              </c:strCache>
            </c:strRef>
          </c:cat>
          <c:val>
            <c:numRef>
              <c:f>'Dashboard'!$B$17:$G$17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Worst Case</c:v>
          </c:tx>
          <c:cat>
            <c:strRef>
              <c:f>'Dashboard'!$B$15:$G$15</c:f>
              <c:strCache>
                <c:ptCount val="0"/>
              </c:strCache>
            </c:strRef>
          </c:cat>
          <c:val>
            <c:numRef>
              <c:f>'Dashboard'!$B$18:$G$18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Expected Case</c:v>
          </c:tx>
          <c:cat>
            <c:strRef>
              <c:f>'Dashboard'!$B$21:$G$21</c:f>
              <c:strCache>
                <c:ptCount val="0"/>
              </c:strCache>
            </c:strRef>
          </c:cat>
          <c:val>
            <c:numRef>
              <c:f>'Dashboard'!$B$22:$G$22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Best Case</c:v>
          </c:tx>
          <c:cat>
            <c:strRef>
              <c:f>'Dashboard'!$B$21:$G$21</c:f>
              <c:strCache>
                <c:ptCount val="0"/>
              </c:strCache>
            </c:strRef>
          </c:cat>
          <c:val>
            <c:numRef>
              <c:f>'Dashboard'!$B$23:$G$23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Worst Case</c:v>
          </c:tx>
          <c:cat>
            <c:strRef>
              <c:f>'Dashboard'!$B$21:$G$21</c:f>
              <c:strCache>
                <c:ptCount val="0"/>
              </c:strCache>
            </c:strRef>
          </c:cat>
          <c:val>
            <c:numRef>
              <c:f>'Dashboard'!$B$24:$G$24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af9e1e55f74e30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11d5eeaddc4ca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pectedCaseFunnel" displayName="ExpectedCaseFunnel" ref="A5:T35" headerRowCount="1">
  <x:tableColumns count="20">
    <x:tableColumn id="1" name="Month"/>
    <x:tableColumn id="2" name="Channel"/>
    <x:tableColumn id="3" name="Spend (USD)"/>
    <x:tableColumn id="4" name="Visitors"/>
    <x:tableColumn id="5" name="Signup / Invite Conv"/>
    <x:tableColumn id="6" name="Signups"/>
    <x:tableColumn id="7" name="Activation Rate"/>
    <x:tableColumn id="8" name="Activated"/>
    <x:tableColumn id="9" name="D30 Retention"/>
    <x:tableColumn id="10" name="Retained D30"/>
    <x:tableColumn id="11" name="CAC / CPO (USD)"/>
    <x:tableColumn id="12" name="Buyer LTV (USD)"/>
    <x:tableColumn id="13" name="LTV:CAC"/>
    <x:tableColumn id="14" name="Cum Retained Buyers"/>
    <x:tableColumn id="15" name="New Seller Shops"/>
    <x:tableColumn id="16" name="Cum Seller Shops"/>
    <x:tableColumn id="17" name="Notes"/>
    <x:tableColumn id="18" name="Avg Invites/User"/>
    <x:tableColumn id="19" name="Referral Conv"/>
    <x:tableColumn id="20" name="Confidence / Source"/>
  </x:tableColumns>
  <x:tableStyleInfo name="TableStyleMedium2" showRowStripes="1"/>
</x:table>
</file>

<file path=xl/tables/table2.xml><?xml version="1.0" encoding="utf-8"?>
<x:table xmlns:x="http://schemas.openxmlformats.org/spreadsheetml/2006/main" id="2" name="BestCaseFunnel" displayName="BestCaseFunnel" ref="A5:T35" headerRowCount="1">
  <x:tableColumns count="20">
    <x:tableColumn id="1" name="Month"/>
    <x:tableColumn id="2" name="Channel"/>
    <x:tableColumn id="3" name="Spend (USD)"/>
    <x:tableColumn id="4" name="Visitors"/>
    <x:tableColumn id="5" name="Signup / Invite Conv"/>
    <x:tableColumn id="6" name="Signups"/>
    <x:tableColumn id="7" name="Activation Rate"/>
    <x:tableColumn id="8" name="Activated"/>
    <x:tableColumn id="9" name="D30 Retention"/>
    <x:tableColumn id="10" name="Retained D30"/>
    <x:tableColumn id="11" name="CAC / CPO (USD)"/>
    <x:tableColumn id="12" name="Buyer LTV (USD)"/>
    <x:tableColumn id="13" name="LTV:CAC"/>
    <x:tableColumn id="14" name="Cum Retained Buyers"/>
    <x:tableColumn id="15" name="New Seller Shops"/>
    <x:tableColumn id="16" name="Cum Seller Shops"/>
    <x:tableColumn id="17" name="Notes"/>
    <x:tableColumn id="18" name="Avg Invites/User"/>
    <x:tableColumn id="19" name="Referral Conv"/>
    <x:tableColumn id="20" name="Confidence / Source"/>
  </x:tableColumns>
  <x:tableStyleInfo name="TableStyleMedium2" showRowStripes="1"/>
</x:table>
</file>

<file path=xl/tables/table3.xml><?xml version="1.0" encoding="utf-8"?>
<x:table xmlns:x="http://schemas.openxmlformats.org/spreadsheetml/2006/main" id="3" name="WorstCaseFunnel" displayName="WorstCaseFunnel" ref="A5:T35" headerRowCount="1">
  <x:tableColumns count="20">
    <x:tableColumn id="1" name="Month"/>
    <x:tableColumn id="2" name="Channel"/>
    <x:tableColumn id="3" name="Spend (USD)"/>
    <x:tableColumn id="4" name="Visitors"/>
    <x:tableColumn id="5" name="Signup / Invite Conv"/>
    <x:tableColumn id="6" name="Signups"/>
    <x:tableColumn id="7" name="Activation Rate"/>
    <x:tableColumn id="8" name="Activated"/>
    <x:tableColumn id="9" name="D30 Retention"/>
    <x:tableColumn id="10" name="Retained D30"/>
    <x:tableColumn id="11" name="CAC / CPO (USD)"/>
    <x:tableColumn id="12" name="Buyer LTV (USD)"/>
    <x:tableColumn id="13" name="LTV:CAC"/>
    <x:tableColumn id="14" name="Cum Retained Buyers"/>
    <x:tableColumn id="15" name="New Seller Shops"/>
    <x:tableColumn id="16" name="Cum Seller Shops"/>
    <x:tableColumn id="17" name="Notes"/>
    <x:tableColumn id="18" name="Avg Invites/User"/>
    <x:tableColumn id="19" name="Referral Conv"/>
    <x:tableColumn id="20" name="Confidence / Source"/>
  </x:tableColumns>
  <x:tableStyleInfo name="TableStyleMedium2" showRowStripes="1"/>
</x:table>
</file>

<file path=xl/tables/table4.xml><?xml version="1.0" encoding="utf-8"?>
<x:table xmlns:x="http://schemas.openxmlformats.org/spreadsheetml/2006/main" id="4" name="AssumptionsTable" displayName="AssumptionsTable" ref="A4:P22" headerRowCount="1">
  <x:tableColumns count="16">
    <x:tableColumn id="1" name="Scenario"/>
    <x:tableColumn id="2" name="Month"/>
    <x:tableColumn id="3" name="Visitor→Signup"/>
    <x:tableColumn id="4" name="Activation"/>
    <x:tableColumn id="5" name="D30 Retention"/>
    <x:tableColumn id="6" name="Avg Invites/User"/>
    <x:tableColumn id="7" name="Referral Conv"/>
    <x:tableColumn id="8" name="Buyer LTV"/>
    <x:tableColumn id="9" name="Organic Visitors"/>
    <x:tableColumn id="10" name="Partner Visitors"/>
    <x:tableColumn id="11" name="Organic Spend"/>
    <x:tableColumn id="12" name="Partner Spend"/>
    <x:tableColumn id="13" name="Referral Spend"/>
    <x:tableColumn id="14" name="Seller Outreach Spend"/>
    <x:tableColumn id="15" name="New Seller Shops"/>
    <x:tableColumn id="16" name="Source / 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DefinitionsTable" displayName="DefinitionsTable" ref="A26:D32" headerRowCount="1">
  <x:tableColumns count="4">
    <x:tableColumn id="1" name="Input"/>
    <x:tableColumn id="2" name="Value / Meaning"/>
    <x:tableColumn id="3" name="Source"/>
    <x:tableColumn id="4" name="Confidence"/>
  </x:tableColumns>
  <x:tableStyleInfo name="TableStyleMedium2" showRowStripes="1"/>
</x:table>
</file>

<file path=xl/tables/table6.xml><?xml version="1.0" encoding="utf-8"?>
<x:table xmlns:x="http://schemas.openxmlformats.org/spreadsheetml/2006/main" id="6" name="DashboardKPIs" displayName="DashboardKPIs" ref="A4:H7" headerRowCount="1">
  <x:tableColumns count="8">
    <x:tableColumn id="1" name="Scenario"/>
    <x:tableColumn id="2" name="Final Cum Buyers"/>
    <x:tableColumn id="3" name="M6 New Retained"/>
    <x:tableColumn id="4" name="M6 Buyer CAC"/>
    <x:tableColumn id="5" name="Final Seller Shops"/>
    <x:tableColumn id="6" name="Total Demand Spend"/>
    <x:tableColumn id="7" name="Total Seller Spend"/>
    <x:tableColumn id="8" name="M6 LTV:CA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ad6ccc47dd48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6e906331eb45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03eb246f5c4c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5c8ea7633d46bf" /><Relationship Type="http://schemas.openxmlformats.org/officeDocument/2006/relationships/table" Target="/xl/tables/table5.xml" Id="Rc9264cd16b0942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a2f1c6cdaa6e40fb" /><Relationship Type="http://schemas.openxmlformats.org/officeDocument/2006/relationships/table" Target="/xl/tables/table6.xml" Id="Rc6a51803f05d49c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2" hidden="0" customWidth="1"/>
    <x:col min="4" max="4" width="12" hidden="0" customWidth="1"/>
    <x:col min="5" max="5" width="15" hidden="0" customWidth="1"/>
    <x:col min="6" max="6" width="12" hidden="0" customWidth="1"/>
    <x:col min="7" max="7" width="14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13" hidden="0" customWidth="1"/>
    <x:col min="13" max="13" width="10" hidden="0" customWidth="1"/>
    <x:col min="14" max="14" width="17" hidden="0" customWidth="1"/>
    <x:col min="15" max="15" width="14" hidden="0" customWidth="1"/>
    <x:col min="16" max="16" width="14" hidden="0" customWidth="1"/>
    <x:col min="17" max="17" width="38" hidden="0" customWidth="1"/>
    <x:col min="18" max="18" width="14" hidden="0" customWidth="1"/>
    <x:col min="19" max="19" width="13" hidden="0" customWidth="1"/>
    <x:col min="20" max="20" width="28" hidden="0" customWidth="1"/>
  </x:cols>
  <x:sheetData>
    <x:row r="1" ht="28" customHeight="1">
      <x:c r="A1" s="132" t="str">
        <x:v>Craft Shop Marketplace — Expected Case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33"/>
      <x:c r="R1" s="133"/>
      <x:c r="S1" s="133"/>
      <x:c r="T1" s="133"/>
    </x:row>
    <x:row r="2" ht="22" customHeight="1">
      <x:c r="A2" s="13" t="str">
        <x:v>Conservative but realistic growth from organic social, micro-creator partnerships, and a referral loop after the marketplace has shareable shop/product pages.</x:v>
      </x:c>
    </x:row>
    <x:row r="4" ht="21" customHeight="1">
      <x:c r="A4" s="21" t="str">
        <x:v>All funnel values are formula-driven. Edit input cells in the channel rows or Assumptions tab to test a new projection.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</x:row>
    <x:row r="5" ht="34" customHeight="1">
      <x:c r="A5" s="29" t="str">
        <x:v>Month</x:v>
      </x:c>
      <x:c r="B5" s="29" t="str">
        <x:v>Channel</x:v>
      </x:c>
      <x:c r="C5" s="29" t="str">
        <x:v>Spend (USD)</x:v>
      </x:c>
      <x:c r="D5" s="29" t="str">
        <x:v>Visitors</x:v>
      </x:c>
      <x:c r="E5" s="29" t="str">
        <x:v>Signup / Invite Conv</x:v>
      </x:c>
      <x:c r="F5" s="29" t="str">
        <x:v>Signups</x:v>
      </x:c>
      <x:c r="G5" s="29" t="str">
        <x:v>Activation Rate</x:v>
      </x:c>
      <x:c r="H5" s="29" t="str">
        <x:v>Activated</x:v>
      </x:c>
      <x:c r="I5" s="29" t="str">
        <x:v>D30 Retention</x:v>
      </x:c>
      <x:c r="J5" s="29" t="str">
        <x:v>Retained D30</x:v>
      </x:c>
      <x:c r="K5" s="29" t="str">
        <x:v>CAC / CPO (USD)</x:v>
      </x:c>
      <x:c r="L5" s="29" t="str">
        <x:v>Buyer LTV (USD)</x:v>
      </x:c>
      <x:c r="M5" s="29" t="str">
        <x:v>LTV:CAC</x:v>
      </x:c>
      <x:c r="N5" s="29" t="str">
        <x:v>Cum Retained Buyers</x:v>
      </x:c>
      <x:c r="O5" s="29" t="str">
        <x:v>New Seller Shops</x:v>
      </x:c>
      <x:c r="P5" s="29" t="str">
        <x:v>Cum Seller Shops</x:v>
      </x:c>
      <x:c r="Q5" s="29" t="str">
        <x:v>Notes</x:v>
      </x:c>
      <x:c r="R5" s="29" t="str">
        <x:v>Avg Invites/User</x:v>
      </x:c>
      <x:c r="S5" s="29" t="str">
        <x:v>Referral Conv</x:v>
      </x:c>
      <x:c r="T5" s="29" t="str">
        <x:v>Confidence / Source</x:v>
      </x:c>
    </x:row>
    <x:row r="6">
      <x:c r="A6" s="36" t="str">
        <x:v>May</x:v>
      </x:c>
      <x:c r="B6" s="36" t="str">
        <x:v>Organic Social + Community</x:v>
      </x:c>
      <x:c r="C6" s="46" t="n">
        <x:v>60</x:v>
      </x:c>
      <x:c r="D6" s="58" t="n">
        <x:v>450</x:v>
      </x:c>
      <x:c r="E6" s="70" t="n">
        <x:v>0.18</x:v>
      </x:c>
      <x:c r="F6" s="64" t="n">
        <x:f>D6*E6</x:f>
        <x:v>81</x:v>
      </x:c>
      <x:c r="G6" s="70" t="n">
        <x:v>0.28</x:v>
      </x:c>
      <x:c r="H6" s="64" t="n">
        <x:f>F6*G6</x:f>
        <x:v>22.680000000000003</x:v>
      </x:c>
      <x:c r="I6" s="70" t="n">
        <x:v>0.42</x:v>
      </x:c>
      <x:c r="J6" s="64" t="n">
        <x:f>H6*I6</x:f>
        <x:v>9.5256</x:v>
      </x:c>
      <x:c r="K6" s="52" t="n">
        <x:f>IF(J6&gt;0,C6/J6,"")</x:f>
        <x:v>6.298815822625346</x:v>
      </x:c>
      <x:c r="L6" s="52" t="n">
        <x:v>12.24</x:v>
      </x:c>
      <x:c r="M6" s="76" t="n">
        <x:f>IF(K6&gt;0,L6/K6,"")</x:f>
        <x:v>1.9432224000000002</x:v>
      </x:c>
      <x:c r="N6" s="64"/>
      <x:c r="O6" s="58"/>
      <x:c r="P6" s="58"/>
      <x:c r="Q6" s="36" t="str">
        <x:v>Instagram/TikTok content, campus/community reposts, creator stories.</x:v>
      </x:c>
      <x:c r="R6" s="76"/>
      <x:c r="S6" s="70"/>
      <x:c r="T6" s="36" t="str">
        <x:v>Medium — proxy from landing page/social traffic</x:v>
      </x:c>
    </x:row>
    <x:row r="7">
      <x:c r="A7" s="36" t="str">
        <x:v>May</x:v>
      </x:c>
      <x:c r="B7" s="36" t="str">
        <x:v>Micro-Creator Partnerships</x:v>
      </x:c>
      <x:c r="C7" s="46" t="n">
        <x:v>80</x:v>
      </x:c>
      <x:c r="D7" s="58" t="n">
        <x:v>250</x:v>
      </x:c>
      <x:c r="E7" s="70" t="n">
        <x:v>0.18</x:v>
      </x:c>
      <x:c r="F7" s="64" t="n">
        <x:f>D7*E7</x:f>
        <x:v>45</x:v>
      </x:c>
      <x:c r="G7" s="70" t="n">
        <x:v>0.28</x:v>
      </x:c>
      <x:c r="H7" s="64" t="n">
        <x:f>F7*G7</x:f>
        <x:v>12.600000000000001</x:v>
      </x:c>
      <x:c r="I7" s="70" t="n">
        <x:v>0.42</x:v>
      </x:c>
      <x:c r="J7" s="64" t="n">
        <x:f>H7*I7</x:f>
        <x:v>5.292000000000001</x:v>
      </x:c>
      <x:c r="K7" s="52" t="n">
        <x:f>IF(J7&gt;0,C7/J7,"")</x:f>
        <x:v>15.117157974300829</x:v>
      </x:c>
      <x:c r="L7" s="52" t="n">
        <x:v>12.24</x:v>
      </x:c>
      <x:c r="M7" s="76" t="n">
        <x:f>IF(K7&gt;0,L7/K7,"")</x:f>
        <x:v>0.8096760000000002</x:v>
      </x:c>
      <x:c r="N7" s="64"/>
      <x:c r="O7" s="58"/>
      <x:c r="P7" s="58"/>
      <x:c r="Q7" s="36" t="str">
        <x:v>Small creator shoutouts, product roundups, maker story collaborations.</x:v>
      </x:c>
      <x:c r="R7" s="76"/>
      <x:c r="S7" s="70"/>
      <x:c r="T7" s="36" t="str">
        <x:v>Medium — outreach-based estimate</x:v>
      </x:c>
    </x:row>
    <x:row r="8">
      <x:c r="A8" s="36" t="str">
        <x:v>May</x:v>
      </x:c>
      <x:c r="B8" s="36" t="str">
        <x:v>Referral / Share Loop</x:v>
      </x:c>
      <x:c r="C8" s="46" t="n">
        <x:v>0</x:v>
      </x:c>
      <x:c r="D8" s="58"/>
      <x:c r="E8" s="70"/>
      <x:c r="F8" s="64" t="n">
        <x:f>0</x:f>
        <x:v>0</x:v>
      </x:c>
      <x:c r="G8" s="70" t="n">
        <x:v>0.28</x:v>
      </x:c>
      <x:c r="H8" s="64" t="n">
        <x:f>F8*G8</x:f>
        <x:v>0</x:v>
      </x:c>
      <x:c r="I8" s="70" t="n">
        <x:v>0.42</x:v>
      </x:c>
      <x:c r="J8" s="64" t="n">
        <x:f>H8*I8</x:f>
        <x:v>0</x:v>
      </x:c>
      <x:c r="K8" s="52" t="n">
        <x:f>IF(J8&gt;0,C8/J8,0)</x:f>
        <x:v>0</x:v>
      </x:c>
      <x:c r="L8" s="52" t="n">
        <x:v>12.24</x:v>
      </x:c>
      <x:c r="M8" s="76" t="str">
        <x:f>IF(K8=0,"Free",L8/K8)</x:f>
        <x:v>Free</x:v>
      </x:c>
      <x:c r="N8" s="64"/>
      <x:c r="O8" s="58"/>
      <x:c r="P8" s="58"/>
      <x:c r="Q8" s="36" t="str">
        <x:v>Existing buyers share products/shops with friends. Referral starts after shareable pages ship.</x:v>
      </x:c>
      <x:c r="R8" s="76" t="n">
        <x:v>0</x:v>
      </x:c>
      <x:c r="S8" s="70" t="n">
        <x:v>0</x:v>
      </x:c>
      <x:c r="T8" s="36" t="str">
        <x:v>Low — not yet measured</x:v>
      </x:c>
    </x:row>
    <x:row r="9">
      <x:c r="A9" s="44" t="str">
        <x:v>May</x:v>
      </x:c>
      <x:c r="B9" s="44" t="str">
        <x:v>Seller Onboarding (Supply)</x:v>
      </x:c>
      <x:c r="C9" s="47" t="n">
        <x:v>120</x:v>
      </x:c>
      <x:c r="D9" s="59"/>
      <x:c r="E9" s="71"/>
      <x:c r="F9" s="65"/>
      <x:c r="G9" s="71"/>
      <x:c r="H9" s="65"/>
      <x:c r="I9" s="71"/>
      <x:c r="J9" s="65"/>
      <x:c r="K9" s="53" t="n">
        <x:f>IF(O9&gt;0,C9/O9,"")</x:f>
        <x:v>15</x:v>
      </x:c>
      <x:c r="L9" s="53"/>
      <x:c r="M9" s="77"/>
      <x:c r="N9" s="65"/>
      <x:c r="O9" s="59" t="n">
        <x:v>8</x:v>
      </x:c>
      <x:c r="P9" s="59" t="n">
        <x:f>O9</x:f>
        <x:v>8</x:v>
      </x:c>
      <x:c r="Q9" s="44" t="str">
        <x:v>Manual outreach to handmade creators. CPO here means cost per new seller shop.</x:v>
      </x:c>
      <x:c r="R9" s="77"/>
      <x:c r="S9" s="71"/>
      <x:c r="T9" s="44" t="str">
        <x:v>Medium — based on direct seller outreach capacity</x:v>
      </x:c>
    </x:row>
    <x:row r="10">
      <x:c r="A10" s="41" t="str">
        <x:v>May</x:v>
      </x:c>
      <x:c r="B10" s="41" t="str">
        <x:v>Blended Demand</x:v>
      </x:c>
      <x:c r="C10" s="48" t="n">
        <x:f>SUM(C6:C8)</x:f>
        <x:v>140</x:v>
      </x:c>
      <x:c r="D10" s="60" t="n">
        <x:f>SUM(D6:D7)</x:f>
        <x:v>700</x:v>
      </x:c>
      <x:c r="E10" s="72"/>
      <x:c r="F10" s="66" t="n">
        <x:f>SUM(F6:F8)</x:f>
        <x:v>126</x:v>
      </x:c>
      <x:c r="G10" s="72"/>
      <x:c r="H10" s="66" t="n">
        <x:f>SUM(H6:H8)</x:f>
        <x:v>35.28</x:v>
      </x:c>
      <x:c r="I10" s="72"/>
      <x:c r="J10" s="66" t="n">
        <x:f>SUM(J6:J8)</x:f>
        <x:v>14.817600000000002</x:v>
      </x:c>
      <x:c r="K10" s="54" t="n">
        <x:f>IF(J10&gt;0,C10/J10,"")</x:f>
        <x:v>9.448223733938018</x:v>
      </x:c>
      <x:c r="L10" s="54" t="n">
        <x:v>12.24</x:v>
      </x:c>
      <x:c r="M10" s="78" t="n">
        <x:f>IF(K10&gt;0,L10/K10,"")</x:f>
        <x:v>1.2954816000000002</x:v>
      </x:c>
      <x:c r="N10" s="66" t="n">
        <x:f>J10</x:f>
        <x:v>14.817600000000002</x:v>
      </x:c>
      <x:c r="O10" s="60"/>
      <x:c r="P10" s="60"/>
      <x:c r="Q10" s="41" t="str">
        <x:v>Monthly demand-side subtotal. Buyer CAC excludes seller-onboarding spend.</x:v>
      </x:c>
      <x:c r="R10" s="78"/>
      <x:c r="S10" s="72"/>
      <x:c r="T10" s="41" t="str">
        <x:v>Formula row</x:v>
      </x:c>
    </x:row>
    <x:row r="11">
      <x:c r="A11" s="36" t="str">
        <x:v>Jun</x:v>
      </x:c>
      <x:c r="B11" s="36" t="str">
        <x:v>Organic Social + Community</x:v>
      </x:c>
      <x:c r="C11" s="46" t="n">
        <x:v>90</x:v>
      </x:c>
      <x:c r="D11" s="58" t="n">
        <x:v>650</x:v>
      </x:c>
      <x:c r="E11" s="70" t="n">
        <x:v>0.19</x:v>
      </x:c>
      <x:c r="F11" s="64" t="n">
        <x:f>D11*E11</x:f>
        <x:v>123.5</x:v>
      </x:c>
      <x:c r="G11" s="70" t="n">
        <x:v>0.32</x:v>
      </x:c>
      <x:c r="H11" s="64" t="n">
        <x:f>F11*G11</x:f>
        <x:v>39.52</x:v>
      </x:c>
      <x:c r="I11" s="70" t="n">
        <x:v>0.45</x:v>
      </x:c>
      <x:c r="J11" s="64" t="n">
        <x:f>H11*I11</x:f>
        <x:v>17.784000000000002</x:v>
      </x:c>
      <x:c r="K11" s="52" t="n">
        <x:f>IF(J11&gt;0,C11/J11,"")</x:f>
        <x:v>5.06072874493927</x:v>
      </x:c>
      <x:c r="L11" s="52" t="n">
        <x:v>12.24</x:v>
      </x:c>
      <x:c r="M11" s="76" t="n">
        <x:f>IF(K11&gt;0,L11/K11,"")</x:f>
        <x:v>2.4186240000000003</x:v>
      </x:c>
      <x:c r="N11" s="64"/>
      <x:c r="O11" s="58"/>
      <x:c r="P11" s="58"/>
      <x:c r="Q11" s="36" t="str">
        <x:v>Instagram/TikTok content, campus/community reposts, creator stories.</x:v>
      </x:c>
      <x:c r="R11" s="76"/>
      <x:c r="S11" s="70"/>
      <x:c r="T11" s="36" t="str">
        <x:v>Medium — proxy from landing page/social traffic</x:v>
      </x:c>
    </x:row>
    <x:row r="12">
      <x:c r="A12" s="36" t="str">
        <x:v>Jun</x:v>
      </x:c>
      <x:c r="B12" s="36" t="str">
        <x:v>Micro-Creator Partnerships</x:v>
      </x:c>
      <x:c r="C12" s="46" t="n">
        <x:v>120</x:v>
      </x:c>
      <x:c r="D12" s="58" t="n">
        <x:v>450</x:v>
      </x:c>
      <x:c r="E12" s="70" t="n">
        <x:v>0.19</x:v>
      </x:c>
      <x:c r="F12" s="64" t="n">
        <x:f>D12*E12</x:f>
        <x:v>85.5</x:v>
      </x:c>
      <x:c r="G12" s="70" t="n">
        <x:v>0.32</x:v>
      </x:c>
      <x:c r="H12" s="64" t="n">
        <x:f>F12*G12</x:f>
        <x:v>27.36</x:v>
      </x:c>
      <x:c r="I12" s="70" t="n">
        <x:v>0.45</x:v>
      </x:c>
      <x:c r="J12" s="64" t="n">
        <x:f>H12*I12</x:f>
        <x:v>12.312</x:v>
      </x:c>
      <x:c r="K12" s="52" t="n">
        <x:f>IF(J12&gt;0,C12/J12,"")</x:f>
        <x:v>9.746588693957115</x:v>
      </x:c>
      <x:c r="L12" s="52" t="n">
        <x:v>12.24</x:v>
      </x:c>
      <x:c r="M12" s="76" t="n">
        <x:f>IF(K12&gt;0,L12/K12,"")</x:f>
        <x:v>1.255824</x:v>
      </x:c>
      <x:c r="N12" s="64"/>
      <x:c r="O12" s="58"/>
      <x:c r="P12" s="58"/>
      <x:c r="Q12" s="36" t="str">
        <x:v>Small creator shoutouts, product roundups, maker story collaborations.</x:v>
      </x:c>
      <x:c r="R12" s="76"/>
      <x:c r="S12" s="70"/>
      <x:c r="T12" s="36" t="str">
        <x:v>Medium — outreach-based estimate</x:v>
      </x:c>
    </x:row>
    <x:row r="13">
      <x:c r="A13" s="36" t="str">
        <x:v>Jun</x:v>
      </x:c>
      <x:c r="B13" s="36" t="str">
        <x:v>Referral / Share Loop</x:v>
      </x:c>
      <x:c r="C13" s="46" t="n">
        <x:v>0</x:v>
      </x:c>
      <x:c r="D13" s="58"/>
      <x:c r="E13" s="70"/>
      <x:c r="F13" s="64" t="n">
        <x:f>N10*R13*S13</x:f>
        <x:v>0.5927040000000001</x:v>
      </x:c>
      <x:c r="G13" s="70" t="n">
        <x:v>0.32</x:v>
      </x:c>
      <x:c r="H13" s="64" t="n">
        <x:f>F13*G13</x:f>
        <x:v>0.18966528000000005</x:v>
      </x:c>
      <x:c r="I13" s="70" t="n">
        <x:v>0.45</x:v>
      </x:c>
      <x:c r="J13" s="64" t="n">
        <x:f>H13*I13</x:f>
        <x:v>0.08534937600000002</x:v>
      </x:c>
      <x:c r="K13" s="52" t="n">
        <x:f>IF(J13&gt;0,C13/J13,0)</x:f>
        <x:v>0</x:v>
      </x:c>
      <x:c r="L13" s="52" t="n">
        <x:v>12.24</x:v>
      </x:c>
      <x:c r="M13" s="76" t="str">
        <x:f>IF(K13=0,"Free",L13/K13)</x:f>
        <x:v>Free</x:v>
      </x:c>
      <x:c r="N13" s="64"/>
      <x:c r="O13" s="58"/>
      <x:c r="P13" s="58"/>
      <x:c r="Q13" s="36" t="str">
        <x:v>Existing buyers share products/shops with friends. Referral starts after shareable pages ship.</x:v>
      </x:c>
      <x:c r="R13" s="76" t="n">
        <x:v>0.25</x:v>
      </x:c>
      <x:c r="S13" s="70" t="n">
        <x:v>0.16</x:v>
      </x:c>
      <x:c r="T13" s="36" t="str">
        <x:v>Low — not yet measured</x:v>
      </x:c>
    </x:row>
    <x:row r="14">
      <x:c r="A14" s="44" t="str">
        <x:v>Jun</x:v>
      </x:c>
      <x:c r="B14" s="44" t="str">
        <x:v>Seller Onboarding (Supply)</x:v>
      </x:c>
      <x:c r="C14" s="47" t="n">
        <x:v>140</x:v>
      </x:c>
      <x:c r="D14" s="59"/>
      <x:c r="E14" s="71"/>
      <x:c r="F14" s="65"/>
      <x:c r="G14" s="71"/>
      <x:c r="H14" s="65"/>
      <x:c r="I14" s="71"/>
      <x:c r="J14" s="65"/>
      <x:c r="K14" s="53" t="n">
        <x:f>IF(O14&gt;0,C14/O14,"")</x:f>
        <x:v>11.666666666666666</x:v>
      </x:c>
      <x:c r="L14" s="53"/>
      <x:c r="M14" s="77"/>
      <x:c r="N14" s="65"/>
      <x:c r="O14" s="59" t="n">
        <x:v>12</x:v>
      </x:c>
      <x:c r="P14" s="59" t="n">
        <x:f>P9+O14</x:f>
        <x:v>20</x:v>
      </x:c>
      <x:c r="Q14" s="44" t="str">
        <x:v>Manual outreach to handmade creators. CPO here means cost per new seller shop.</x:v>
      </x:c>
      <x:c r="R14" s="77"/>
      <x:c r="S14" s="71"/>
      <x:c r="T14" s="44" t="str">
        <x:v>Medium — based on direct seller outreach capacity</x:v>
      </x:c>
    </x:row>
    <x:row r="15">
      <x:c r="A15" s="41" t="str">
        <x:v>Jun</x:v>
      </x:c>
      <x:c r="B15" s="41" t="str">
        <x:v>Blended Demand</x:v>
      </x:c>
      <x:c r="C15" s="48" t="n">
        <x:f>SUM(C11:C13)</x:f>
        <x:v>210</x:v>
      </x:c>
      <x:c r="D15" s="60" t="n">
        <x:f>SUM(D11:D12)</x:f>
        <x:v>1100</x:v>
      </x:c>
      <x:c r="E15" s="72"/>
      <x:c r="F15" s="66" t="n">
        <x:f>SUM(F11:F13)</x:f>
        <x:v>209.592704</x:v>
      </x:c>
      <x:c r="G15" s="72"/>
      <x:c r="H15" s="66" t="n">
        <x:f>SUM(H11:H13)</x:f>
        <x:v>67.06966528</x:v>
      </x:c>
      <x:c r="I15" s="72"/>
      <x:c r="J15" s="66" t="n">
        <x:f>SUM(J11:J13)</x:f>
        <x:v>30.181349376000004</x:v>
      </x:c>
      <x:c r="K15" s="54" t="n">
        <x:f>IF(J15&gt;0,C15/J15,"")</x:f>
        <x:v>6.957939401045817</x:v>
      </x:c>
      <x:c r="L15" s="54" t="n">
        <x:v>12.24</x:v>
      </x:c>
      <x:c r="M15" s="78" t="n">
        <x:f>IF(K15&gt;0,L15/K15,"")</x:f>
        <x:v>1.7591415064868574</x:v>
      </x:c>
      <x:c r="N15" s="66" t="n">
        <x:f>N10+J15</x:f>
        <x:v>44.998949376000006</x:v>
      </x:c>
      <x:c r="O15" s="60"/>
      <x:c r="P15" s="60"/>
      <x:c r="Q15" s="41" t="str">
        <x:v>Monthly demand-side subtotal. Buyer CAC excludes seller-onboarding spend.</x:v>
      </x:c>
      <x:c r="R15" s="78"/>
      <x:c r="S15" s="72"/>
      <x:c r="T15" s="41" t="str">
        <x:v>Formula row</x:v>
      </x:c>
    </x:row>
    <x:row r="16">
      <x:c r="A16" s="36" t="str">
        <x:v>Jul</x:v>
      </x:c>
      <x:c r="B16" s="36" t="str">
        <x:v>Organic Social + Community</x:v>
      </x:c>
      <x:c r="C16" s="46" t="n">
        <x:v>120</x:v>
      </x:c>
      <x:c r="D16" s="58" t="n">
        <x:v>850</x:v>
      </x:c>
      <x:c r="E16" s="70" t="n">
        <x:v>0.2</x:v>
      </x:c>
      <x:c r="F16" s="64" t="n">
        <x:f>D16*E16</x:f>
        <x:v>170</x:v>
      </x:c>
      <x:c r="G16" s="70" t="n">
        <x:v>0.34</x:v>
      </x:c>
      <x:c r="H16" s="64" t="n">
        <x:f>F16*G16</x:f>
        <x:v>57.800000000000004</x:v>
      </x:c>
      <x:c r="I16" s="70" t="n">
        <x:v>0.48</x:v>
      </x:c>
      <x:c r="J16" s="64" t="n">
        <x:f>H16*I16</x:f>
        <x:v>27.744</x:v>
      </x:c>
      <x:c r="K16" s="52" t="n">
        <x:f>IF(J16&gt;0,C16/J16,"")</x:f>
        <x:v>4.325259515570934</x:v>
      </x:c>
      <x:c r="L16" s="52" t="n">
        <x:v>12.24</x:v>
      </x:c>
      <x:c r="M16" s="76" t="n">
        <x:f>IF(K16&gt;0,L16/K16,"")</x:f>
        <x:v>2.829888</x:v>
      </x:c>
      <x:c r="N16" s="64"/>
      <x:c r="O16" s="58"/>
      <x:c r="P16" s="58"/>
      <x:c r="Q16" s="36" t="str">
        <x:v>Instagram/TikTok content, campus/community reposts, creator stories.</x:v>
      </x:c>
      <x:c r="R16" s="76"/>
      <x:c r="S16" s="70"/>
      <x:c r="T16" s="36" t="str">
        <x:v>Medium — proxy from landing page/social traffic</x:v>
      </x:c>
    </x:row>
    <x:row r="17">
      <x:c r="A17" s="36" t="str">
        <x:v>Jul</x:v>
      </x:c>
      <x:c r="B17" s="36" t="str">
        <x:v>Micro-Creator Partnerships</x:v>
      </x:c>
      <x:c r="C17" s="46" t="n">
        <x:v>180</x:v>
      </x:c>
      <x:c r="D17" s="58" t="n">
        <x:v>650</x:v>
      </x:c>
      <x:c r="E17" s="70" t="n">
        <x:v>0.2</x:v>
      </x:c>
      <x:c r="F17" s="64" t="n">
        <x:f>D17*E17</x:f>
        <x:v>130</x:v>
      </x:c>
      <x:c r="G17" s="70" t="n">
        <x:v>0.34</x:v>
      </x:c>
      <x:c r="H17" s="64" t="n">
        <x:f>F17*G17</x:f>
        <x:v>44.2</x:v>
      </x:c>
      <x:c r="I17" s="70" t="n">
        <x:v>0.48</x:v>
      </x:c>
      <x:c r="J17" s="64" t="n">
        <x:f>H17*I17</x:f>
        <x:v>21.216</x:v>
      </x:c>
      <x:c r="K17" s="52" t="n">
        <x:f>IF(J17&gt;0,C17/J17,"")</x:f>
        <x:v>8.484162895927602</x:v>
      </x:c>
      <x:c r="L17" s="52" t="n">
        <x:v>12.24</x:v>
      </x:c>
      <x:c r="M17" s="76" t="n">
        <x:f>IF(K17&gt;0,L17/K17,"")</x:f>
        <x:v>1.442688</x:v>
      </x:c>
      <x:c r="N17" s="64"/>
      <x:c r="O17" s="58"/>
      <x:c r="P17" s="58"/>
      <x:c r="Q17" s="36" t="str">
        <x:v>Small creator shoutouts, product roundups, maker story collaborations.</x:v>
      </x:c>
      <x:c r="R17" s="76"/>
      <x:c r="S17" s="70"/>
      <x:c r="T17" s="36" t="str">
        <x:v>Medium — outreach-based estimate</x:v>
      </x:c>
    </x:row>
    <x:row r="18">
      <x:c r="A18" s="36" t="str">
        <x:v>Jul</x:v>
      </x:c>
      <x:c r="B18" s="36" t="str">
        <x:v>Referral / Share Loop</x:v>
      </x:c>
      <x:c r="C18" s="46" t="n">
        <x:v>0</x:v>
      </x:c>
      <x:c r="D18" s="58"/>
      <x:c r="E18" s="70"/>
      <x:c r="F18" s="64" t="n">
        <x:f>N15*R18*S18</x:f>
        <x:v>2.4479428460544006</x:v>
      </x:c>
      <x:c r="G18" s="70" t="n">
        <x:v>0.34</x:v>
      </x:c>
      <x:c r="H18" s="64" t="n">
        <x:f>F18*G18</x:f>
        <x:v>0.8323005676584962</x:v>
      </x:c>
      <x:c r="I18" s="70" t="n">
        <x:v>0.48</x:v>
      </x:c>
      <x:c r="J18" s="64" t="n">
        <x:f>H18*I18</x:f>
        <x:v>0.39950427247607817</x:v>
      </x:c>
      <x:c r="K18" s="52" t="n">
        <x:f>IF(J18&gt;0,C18/J18,0)</x:f>
        <x:v>0</x:v>
      </x:c>
      <x:c r="L18" s="52" t="n">
        <x:v>12.24</x:v>
      </x:c>
      <x:c r="M18" s="76" t="str">
        <x:f>IF(K18=0,"Free",L18/K18)</x:f>
        <x:v>Free</x:v>
      </x:c>
      <x:c r="N18" s="64"/>
      <x:c r="O18" s="58"/>
      <x:c r="P18" s="58"/>
      <x:c r="Q18" s="36" t="str">
        <x:v>Existing buyers share products/shops with friends. Referral starts after shareable pages ship.</x:v>
      </x:c>
      <x:c r="R18" s="76" t="n">
        <x:v>0.32</x:v>
      </x:c>
      <x:c r="S18" s="70" t="n">
        <x:v>0.17</x:v>
      </x:c>
      <x:c r="T18" s="36" t="str">
        <x:v>Low — not yet measured</x:v>
      </x:c>
    </x:row>
    <x:row r="19">
      <x:c r="A19" s="44" t="str">
        <x:v>Jul</x:v>
      </x:c>
      <x:c r="B19" s="44" t="str">
        <x:v>Seller Onboarding (Supply)</x:v>
      </x:c>
      <x:c r="C19" s="47" t="n">
        <x:v>160</x:v>
      </x:c>
      <x:c r="D19" s="59"/>
      <x:c r="E19" s="71"/>
      <x:c r="F19" s="65"/>
      <x:c r="G19" s="71"/>
      <x:c r="H19" s="65"/>
      <x:c r="I19" s="71"/>
      <x:c r="J19" s="65"/>
      <x:c r="K19" s="53" t="n">
        <x:f>IF(O19&gt;0,C19/O19,"")</x:f>
        <x:v>10</x:v>
      </x:c>
      <x:c r="L19" s="53"/>
      <x:c r="M19" s="77"/>
      <x:c r="N19" s="65"/>
      <x:c r="O19" s="59" t="n">
        <x:v>16</x:v>
      </x:c>
      <x:c r="P19" s="59" t="n">
        <x:f>P14+O19</x:f>
        <x:v>36</x:v>
      </x:c>
      <x:c r="Q19" s="44" t="str">
        <x:v>Manual outreach to handmade creators. CPO here means cost per new seller shop.</x:v>
      </x:c>
      <x:c r="R19" s="77"/>
      <x:c r="S19" s="71"/>
      <x:c r="T19" s="44" t="str">
        <x:v>Medium — based on direct seller outreach capacity</x:v>
      </x:c>
    </x:row>
    <x:row r="20">
      <x:c r="A20" s="41" t="str">
        <x:v>Jul</x:v>
      </x:c>
      <x:c r="B20" s="41" t="str">
        <x:v>Blended Demand</x:v>
      </x:c>
      <x:c r="C20" s="48" t="n">
        <x:f>SUM(C16:C18)</x:f>
        <x:v>300</x:v>
      </x:c>
      <x:c r="D20" s="60" t="n">
        <x:f>SUM(D16:D17)</x:f>
        <x:v>1500</x:v>
      </x:c>
      <x:c r="E20" s="72"/>
      <x:c r="F20" s="66" t="n">
        <x:f>SUM(F16:F18)</x:f>
        <x:v>302.4479428460544</x:v>
      </x:c>
      <x:c r="G20" s="72"/>
      <x:c r="H20" s="66" t="n">
        <x:f>SUM(H16:H18)</x:f>
        <x:v>102.83230056765849</x:v>
      </x:c>
      <x:c r="I20" s="72"/>
      <x:c r="J20" s="66" t="n">
        <x:f>SUM(J16:J18)</x:f>
        <x:v>49.35950427247608</x:v>
      </x:c>
      <x:c r="K20" s="54" t="n">
        <x:f>IF(J20&gt;0,C20/J20,"")</x:f>
        <x:v>6.077856826598772</x:v>
      </x:c>
      <x:c r="L20" s="54" t="n">
        <x:v>12.24</x:v>
      </x:c>
      <x:c r="M20" s="78" t="n">
        <x:f>IF(K20&gt;0,L20/K20,"")</x:f>
        <x:v>2.013867774317024</x:v>
      </x:c>
      <x:c r="N20" s="66" t="n">
        <x:f>N15+J20</x:f>
        <x:v>94.35845364847609</x:v>
      </x:c>
      <x:c r="O20" s="60"/>
      <x:c r="P20" s="60"/>
      <x:c r="Q20" s="41" t="str">
        <x:v>Monthly demand-side subtotal. Buyer CAC excludes seller-onboarding spend.</x:v>
      </x:c>
      <x:c r="R20" s="78"/>
      <x:c r="S20" s="72"/>
      <x:c r="T20" s="41" t="str">
        <x:v>Formula row</x:v>
      </x:c>
    </x:row>
    <x:row r="21">
      <x:c r="A21" s="36" t="str">
        <x:v>Aug</x:v>
      </x:c>
      <x:c r="B21" s="36" t="str">
        <x:v>Organic Social + Community</x:v>
      </x:c>
      <x:c r="C21" s="46" t="n">
        <x:v>150</x:v>
      </x:c>
      <x:c r="D21" s="58" t="n">
        <x:v>1050</x:v>
      </x:c>
      <x:c r="E21" s="70" t="n">
        <x:v>0.21</x:v>
      </x:c>
      <x:c r="F21" s="64" t="n">
        <x:f>D21*E21</x:f>
        <x:v>220.5</x:v>
      </x:c>
      <x:c r="G21" s="70" t="n">
        <x:v>0.38</x:v>
      </x:c>
      <x:c r="H21" s="64" t="n">
        <x:f>F21*G21</x:f>
        <x:v>83.79</x:v>
      </x:c>
      <x:c r="I21" s="70" t="n">
        <x:v>0.52</x:v>
      </x:c>
      <x:c r="J21" s="64" t="n">
        <x:f>H21*I21</x:f>
        <x:v>43.570800000000006</x:v>
      </x:c>
      <x:c r="K21" s="52" t="n">
        <x:f>IF(J21&gt;0,C21/J21,"")</x:f>
        <x:v>3.442672615604946</x:v>
      </x:c>
      <x:c r="L21" s="52" t="n">
        <x:v>12.24</x:v>
      </x:c>
      <x:c r="M21" s="76" t="n">
        <x:f>IF(K21&gt;0,L21/K21,"")</x:f>
        <x:v>3.5553772800000005</x:v>
      </x:c>
      <x:c r="N21" s="64"/>
      <x:c r="O21" s="58"/>
      <x:c r="P21" s="58"/>
      <x:c r="Q21" s="36" t="str">
        <x:v>Instagram/TikTok content, campus/community reposts, creator stories.</x:v>
      </x:c>
      <x:c r="R21" s="76"/>
      <x:c r="S21" s="70"/>
      <x:c r="T21" s="36" t="str">
        <x:v>Medium — proxy from landing page/social traffic</x:v>
      </x:c>
    </x:row>
    <x:row r="22">
      <x:c r="A22" s="36" t="str">
        <x:v>Aug</x:v>
      </x:c>
      <x:c r="B22" s="36" t="str">
        <x:v>Micro-Creator Partnerships</x:v>
      </x:c>
      <x:c r="C22" s="46" t="n">
        <x:v>240</x:v>
      </x:c>
      <x:c r="D22" s="58" t="n">
        <x:v>850</x:v>
      </x:c>
      <x:c r="E22" s="70" t="n">
        <x:v>0.21</x:v>
      </x:c>
      <x:c r="F22" s="64" t="n">
        <x:f>D22*E22</x:f>
        <x:v>178.5</x:v>
      </x:c>
      <x:c r="G22" s="70" t="n">
        <x:v>0.38</x:v>
      </x:c>
      <x:c r="H22" s="64" t="n">
        <x:f>F22*G22</x:f>
        <x:v>67.83</x:v>
      </x:c>
      <x:c r="I22" s="70" t="n">
        <x:v>0.52</x:v>
      </x:c>
      <x:c r="J22" s="64" t="n">
        <x:f>H22*I22</x:f>
        <x:v>35.2716</x:v>
      </x:c>
      <x:c r="K22" s="52" t="n">
        <x:f>IF(J22&gt;0,C22/J22,"")</x:f>
        <x:v>6.804341169666247</x:v>
      </x:c>
      <x:c r="L22" s="52" t="n">
        <x:v>12.24</x:v>
      </x:c>
      <x:c r="M22" s="76" t="n">
        <x:f>IF(K22&gt;0,L22/K22,"")</x:f>
        <x:v>1.7988515999999999</x:v>
      </x:c>
      <x:c r="N22" s="64"/>
      <x:c r="O22" s="58"/>
      <x:c r="P22" s="58"/>
      <x:c r="Q22" s="36" t="str">
        <x:v>Small creator shoutouts, product roundups, maker story collaborations.</x:v>
      </x:c>
      <x:c r="R22" s="76"/>
      <x:c r="S22" s="70"/>
      <x:c r="T22" s="36" t="str">
        <x:v>Medium — outreach-based estimate</x:v>
      </x:c>
    </x:row>
    <x:row r="23">
      <x:c r="A23" s="36" t="str">
        <x:v>Aug</x:v>
      </x:c>
      <x:c r="B23" s="36" t="str">
        <x:v>Referral / Share Loop</x:v>
      </x:c>
      <x:c r="C23" s="46" t="n">
        <x:v>0</x:v>
      </x:c>
      <x:c r="D23" s="58"/>
      <x:c r="E23" s="70"/>
      <x:c r="F23" s="64" t="n">
        <x:f>N20*R23*S23</x:f>
        <x:v>6.454118229555764</x:v>
      </x:c>
      <x:c r="G23" s="70" t="n">
        <x:v>0.38</x:v>
      </x:c>
      <x:c r="H23" s="64" t="n">
        <x:f>F23*G23</x:f>
        <x:v>2.4525649272311902</x:v>
      </x:c>
      <x:c r="I23" s="70" t="n">
        <x:v>0.52</x:v>
      </x:c>
      <x:c r="J23" s="64" t="n">
        <x:f>H23*I23</x:f>
        <x:v>1.275333762160219</x:v>
      </x:c>
      <x:c r="K23" s="52" t="n">
        <x:f>IF(J23&gt;0,C23/J23,0)</x:f>
        <x:v>0</x:v>
      </x:c>
      <x:c r="L23" s="52" t="n">
        <x:v>12.24</x:v>
      </x:c>
      <x:c r="M23" s="76" t="str">
        <x:f>IF(K23=0,"Free",L23/K23)</x:f>
        <x:v>Free</x:v>
      </x:c>
      <x:c r="N23" s="64"/>
      <x:c r="O23" s="58"/>
      <x:c r="P23" s="58"/>
      <x:c r="Q23" s="36" t="str">
        <x:v>Existing buyers share products/shops with friends. Referral starts after shareable pages ship.</x:v>
      </x:c>
      <x:c r="R23" s="76" t="n">
        <x:v>0.38</x:v>
      </x:c>
      <x:c r="S23" s="70" t="n">
        <x:v>0.18</x:v>
      </x:c>
      <x:c r="T23" s="36" t="str">
        <x:v>Low — not yet measured</x:v>
      </x:c>
    </x:row>
    <x:row r="24">
      <x:c r="A24" s="44" t="str">
        <x:v>Aug</x:v>
      </x:c>
      <x:c r="B24" s="44" t="str">
        <x:v>Seller Onboarding (Supply)</x:v>
      </x:c>
      <x:c r="C24" s="47" t="n">
        <x:v>160</x:v>
      </x:c>
      <x:c r="D24" s="59"/>
      <x:c r="E24" s="71"/>
      <x:c r="F24" s="65"/>
      <x:c r="G24" s="71"/>
      <x:c r="H24" s="65"/>
      <x:c r="I24" s="71"/>
      <x:c r="J24" s="65"/>
      <x:c r="K24" s="53" t="n">
        <x:f>IF(O24&gt;0,C24/O24,"")</x:f>
        <x:v>8</x:v>
      </x:c>
      <x:c r="L24" s="53"/>
      <x:c r="M24" s="77"/>
      <x:c r="N24" s="65"/>
      <x:c r="O24" s="59" t="n">
        <x:v>20</x:v>
      </x:c>
      <x:c r="P24" s="59" t="n">
        <x:f>P19+O24</x:f>
        <x:v>56</x:v>
      </x:c>
      <x:c r="Q24" s="44" t="str">
        <x:v>Manual outreach to handmade creators. CPO here means cost per new seller shop.</x:v>
      </x:c>
      <x:c r="R24" s="77"/>
      <x:c r="S24" s="71"/>
      <x:c r="T24" s="44" t="str">
        <x:v>Medium — based on direct seller outreach capacity</x:v>
      </x:c>
    </x:row>
    <x:row r="25">
      <x:c r="A25" s="41" t="str">
        <x:v>Aug</x:v>
      </x:c>
      <x:c r="B25" s="41" t="str">
        <x:v>Blended Demand</x:v>
      </x:c>
      <x:c r="C25" s="48" t="n">
        <x:f>SUM(C21:C23)</x:f>
        <x:v>390</x:v>
      </x:c>
      <x:c r="D25" s="60" t="n">
        <x:f>SUM(D21:D22)</x:f>
        <x:v>1900</x:v>
      </x:c>
      <x:c r="E25" s="72"/>
      <x:c r="F25" s="66" t="n">
        <x:f>SUM(F21:F23)</x:f>
        <x:v>405.4541182295558</x:v>
      </x:c>
      <x:c r="G25" s="72"/>
      <x:c r="H25" s="66" t="n">
        <x:f>SUM(H21:H23)</x:f>
        <x:v>154.07256492723118</x:v>
      </x:c>
      <x:c r="I25" s="72"/>
      <x:c r="J25" s="66" t="n">
        <x:f>SUM(J21:J23)</x:f>
        <x:v>80.11773376216021</x:v>
      </x:c>
      <x:c r="K25" s="54" t="n">
        <x:f>IF(J25&gt;0,C25/J25,"")</x:f>
        <x:v>4.8678361417182</x:v>
      </x:c>
      <x:c r="L25" s="54" t="n">
        <x:v>12.24</x:v>
      </x:c>
      <x:c r="M25" s="78" t="n">
        <x:f>IF(K25&gt;0,L25/K25,"")</x:f>
        <x:v>2.514464259612413</x:v>
      </x:c>
      <x:c r="N25" s="66" t="n">
        <x:f>N20+J25</x:f>
        <x:v>174.4761874106363</x:v>
      </x:c>
      <x:c r="O25" s="60"/>
      <x:c r="P25" s="60"/>
      <x:c r="Q25" s="41" t="str">
        <x:v>Monthly demand-side subtotal. Buyer CAC excludes seller-onboarding spend.</x:v>
      </x:c>
      <x:c r="R25" s="78"/>
      <x:c r="S25" s="72"/>
      <x:c r="T25" s="41" t="str">
        <x:v>Formula row</x:v>
      </x:c>
    </x:row>
    <x:row r="26">
      <x:c r="A26" s="36" t="str">
        <x:v>Sep</x:v>
      </x:c>
      <x:c r="B26" s="36" t="str">
        <x:v>Organic Social + Community</x:v>
      </x:c>
      <x:c r="C26" s="46" t="n">
        <x:v>180</x:v>
      </x:c>
      <x:c r="D26" s="58" t="n">
        <x:v>1250</x:v>
      </x:c>
      <x:c r="E26" s="70" t="n">
        <x:v>0.22</x:v>
      </x:c>
      <x:c r="F26" s="64" t="n">
        <x:f>D26*E26</x:f>
        <x:v>275</x:v>
      </x:c>
      <x:c r="G26" s="70" t="n">
        <x:v>0.42</x:v>
      </x:c>
      <x:c r="H26" s="64" t="n">
        <x:f>F26*G26</x:f>
        <x:v>115.5</x:v>
      </x:c>
      <x:c r="I26" s="70" t="n">
        <x:v>0.55</x:v>
      </x:c>
      <x:c r="J26" s="64" t="n">
        <x:f>H26*I26</x:f>
        <x:v>63.525000000000006</x:v>
      </x:c>
      <x:c r="K26" s="52" t="n">
        <x:f>IF(J26&gt;0,C26/J26,"")</x:f>
        <x:v>2.8335301062573786</x:v>
      </x:c>
      <x:c r="L26" s="52" t="n">
        <x:v>12.24</x:v>
      </x:c>
      <x:c r="M26" s="76" t="n">
        <x:f>IF(K26&gt;0,L26/K26,"")</x:f>
        <x:v>4.319700000000001</x:v>
      </x:c>
      <x:c r="N26" s="64"/>
      <x:c r="O26" s="58"/>
      <x:c r="P26" s="58"/>
      <x:c r="Q26" s="36" t="str">
        <x:v>Instagram/TikTok content, campus/community reposts, creator stories.</x:v>
      </x:c>
      <x:c r="R26" s="76"/>
      <x:c r="S26" s="70"/>
      <x:c r="T26" s="36" t="str">
        <x:v>Medium — proxy from landing page/social traffic</x:v>
      </x:c>
    </x:row>
    <x:row r="27">
      <x:c r="A27" s="36" t="str">
        <x:v>Sep</x:v>
      </x:c>
      <x:c r="B27" s="36" t="str">
        <x:v>Micro-Creator Partnerships</x:v>
      </x:c>
      <x:c r="C27" s="46" t="n">
        <x:v>300</x:v>
      </x:c>
      <x:c r="D27" s="58" t="n">
        <x:v>1050</x:v>
      </x:c>
      <x:c r="E27" s="70" t="n">
        <x:v>0.22</x:v>
      </x:c>
      <x:c r="F27" s="64" t="n">
        <x:f>D27*E27</x:f>
        <x:v>231</x:v>
      </x:c>
      <x:c r="G27" s="70" t="n">
        <x:v>0.42</x:v>
      </x:c>
      <x:c r="H27" s="64" t="n">
        <x:f>F27*G27</x:f>
        <x:v>97.02</x:v>
      </x:c>
      <x:c r="I27" s="70" t="n">
        <x:v>0.55</x:v>
      </x:c>
      <x:c r="J27" s="64" t="n">
        <x:f>H27*I27</x:f>
        <x:v>53.361000000000004</x:v>
      </x:c>
      <x:c r="K27" s="52" t="n">
        <x:f>IF(J27&gt;0,C27/J27,"")</x:f>
        <x:v>5.622083544161466</x:v>
      </x:c>
      <x:c r="L27" s="52" t="n">
        <x:v>12.24</x:v>
      </x:c>
      <x:c r="M27" s="76" t="n">
        <x:f>IF(K27&gt;0,L27/K27,"")</x:f>
        <x:v>2.1771288</x:v>
      </x:c>
      <x:c r="N27" s="64"/>
      <x:c r="O27" s="58"/>
      <x:c r="P27" s="58"/>
      <x:c r="Q27" s="36" t="str">
        <x:v>Small creator shoutouts, product roundups, maker story collaborations.</x:v>
      </x:c>
      <x:c r="R27" s="76"/>
      <x:c r="S27" s="70"/>
      <x:c r="T27" s="36" t="str">
        <x:v>Medium — outreach-based estimate</x:v>
      </x:c>
    </x:row>
    <x:row r="28">
      <x:c r="A28" s="36" t="str">
        <x:v>Sep</x:v>
      </x:c>
      <x:c r="B28" s="36" t="str">
        <x:v>Referral / Share Loop</x:v>
      </x:c>
      <x:c r="C28" s="46" t="n">
        <x:v>0</x:v>
      </x:c>
      <x:c r="D28" s="58"/>
      <x:c r="E28" s="70"/>
      <x:c r="F28" s="64" t="n">
        <x:f>N25*R28*S28</x:f>
        <x:v>14.917714023609404</x:v>
      </x:c>
      <x:c r="G28" s="70" t="n">
        <x:v>0.42</x:v>
      </x:c>
      <x:c r="H28" s="64" t="n">
        <x:f>F28*G28</x:f>
        <x:v>6.26543988991595</x:v>
      </x:c>
      <x:c r="I28" s="70" t="n">
        <x:v>0.55</x:v>
      </x:c>
      <x:c r="J28" s="64" t="n">
        <x:f>H28*I28</x:f>
        <x:v>3.4459919394537724</x:v>
      </x:c>
      <x:c r="K28" s="52" t="n">
        <x:f>IF(J28&gt;0,C28/J28,0)</x:f>
        <x:v>0</x:v>
      </x:c>
      <x:c r="L28" s="52" t="n">
        <x:v>12.24</x:v>
      </x:c>
      <x:c r="M28" s="76" t="str">
        <x:f>IF(K28=0,"Free",L28/K28)</x:f>
        <x:v>Free</x:v>
      </x:c>
      <x:c r="N28" s="64"/>
      <x:c r="O28" s="58"/>
      <x:c r="P28" s="58"/>
      <x:c r="Q28" s="36" t="str">
        <x:v>Existing buyers share products/shops with friends. Referral starts after shareable pages ship.</x:v>
      </x:c>
      <x:c r="R28" s="76" t="n">
        <x:v>0.45</x:v>
      </x:c>
      <x:c r="S28" s="70" t="n">
        <x:v>0.19</x:v>
      </x:c>
      <x:c r="T28" s="36" t="str">
        <x:v>Low — not yet measured</x:v>
      </x:c>
    </x:row>
    <x:row r="29">
      <x:c r="A29" s="44" t="str">
        <x:v>Sep</x:v>
      </x:c>
      <x:c r="B29" s="44" t="str">
        <x:v>Seller Onboarding (Supply)</x:v>
      </x:c>
      <x:c r="C29" s="47" t="n">
        <x:v>180</x:v>
      </x:c>
      <x:c r="D29" s="59"/>
      <x:c r="E29" s="71"/>
      <x:c r="F29" s="65"/>
      <x:c r="G29" s="71"/>
      <x:c r="H29" s="65"/>
      <x:c r="I29" s="71"/>
      <x:c r="J29" s="65"/>
      <x:c r="K29" s="53" t="n">
        <x:f>IF(O29&gt;0,C29/O29,"")</x:f>
        <x:v>7.5</x:v>
      </x:c>
      <x:c r="L29" s="53"/>
      <x:c r="M29" s="77"/>
      <x:c r="N29" s="65"/>
      <x:c r="O29" s="59" t="n">
        <x:v>24</x:v>
      </x:c>
      <x:c r="P29" s="59" t="n">
        <x:f>P24+O29</x:f>
        <x:v>80</x:v>
      </x:c>
      <x:c r="Q29" s="44" t="str">
        <x:v>Manual outreach to handmade creators. CPO here means cost per new seller shop.</x:v>
      </x:c>
      <x:c r="R29" s="77"/>
      <x:c r="S29" s="71"/>
      <x:c r="T29" s="44" t="str">
        <x:v>Medium — based on direct seller outreach capacity</x:v>
      </x:c>
    </x:row>
    <x:row r="30">
      <x:c r="A30" s="41" t="str">
        <x:v>Sep</x:v>
      </x:c>
      <x:c r="B30" s="41" t="str">
        <x:v>Blended Demand</x:v>
      </x:c>
      <x:c r="C30" s="48" t="n">
        <x:f>SUM(C26:C28)</x:f>
        <x:v>480</x:v>
      </x:c>
      <x:c r="D30" s="60" t="n">
        <x:f>SUM(D26:D27)</x:f>
        <x:v>2300</x:v>
      </x:c>
      <x:c r="E30" s="72"/>
      <x:c r="F30" s="66" t="n">
        <x:f>SUM(F26:F28)</x:f>
        <x:v>520.9177140236094</x:v>
      </x:c>
      <x:c r="G30" s="72"/>
      <x:c r="H30" s="66" t="n">
        <x:f>SUM(H26:H28)</x:f>
        <x:v>218.78543988991592</x:v>
      </x:c>
      <x:c r="I30" s="72"/>
      <x:c r="J30" s="66" t="n">
        <x:f>SUM(J26:J28)</x:f>
        <x:v>120.33199193945379</x:v>
      </x:c>
      <x:c r="K30" s="54" t="n">
        <x:f>IF(J30&gt;0,C30/J30,"")</x:f>
        <x:v>3.9889641338399575</x:v>
      </x:c>
      <x:c r="L30" s="54" t="n">
        <x:v>12.24</x:v>
      </x:c>
      <x:c r="M30" s="78" t="n">
        <x:f>IF(K30&gt;0,L30/K30,"")</x:f>
        <x:v>3.0684657944560714</x:v>
      </x:c>
      <x:c r="N30" s="66" t="n">
        <x:f>N25+J30</x:f>
        <x:v>294.8081793500901</x:v>
      </x:c>
      <x:c r="O30" s="60"/>
      <x:c r="P30" s="60"/>
      <x:c r="Q30" s="41" t="str">
        <x:v>Monthly demand-side subtotal. Buyer CAC excludes seller-onboarding spend.</x:v>
      </x:c>
      <x:c r="R30" s="78"/>
      <x:c r="S30" s="72"/>
      <x:c r="T30" s="41" t="str">
        <x:v>Formula row</x:v>
      </x:c>
    </x:row>
    <x:row r="31">
      <x:c r="A31" s="36" t="str">
        <x:v>Oct</x:v>
      </x:c>
      <x:c r="B31" s="36" t="str">
        <x:v>Organic Social + Community</x:v>
      </x:c>
      <x:c r="C31" s="46" t="n">
        <x:v>210</x:v>
      </x:c>
      <x:c r="D31" s="58" t="n">
        <x:v>1450</x:v>
      </x:c>
      <x:c r="E31" s="70" t="n">
        <x:v>0.23</x:v>
      </x:c>
      <x:c r="F31" s="64" t="n">
        <x:f>D31*E31</x:f>
        <x:v>333.5</x:v>
      </x:c>
      <x:c r="G31" s="70" t="n">
        <x:v>0.45</x:v>
      </x:c>
      <x:c r="H31" s="64" t="n">
        <x:f>F31*G31</x:f>
        <x:v>150.07500000000002</x:v>
      </x:c>
      <x:c r="I31" s="70" t="n">
        <x:v>0.58</x:v>
      </x:c>
      <x:c r="J31" s="64" t="n">
        <x:f>H31*I31</x:f>
        <x:v>87.04350000000001</x:v>
      </x:c>
      <x:c r="K31" s="52" t="n">
        <x:f>IF(J31&gt;0,C31/J31,"")</x:f>
        <x:v>2.412586810043254</x:v>
      </x:c>
      <x:c r="L31" s="52" t="n">
        <x:v>12.24</x:v>
      </x:c>
      <x:c r="M31" s="76" t="n">
        <x:f>IF(K31&gt;0,L31/K31,"")</x:f>
        <x:v>5.073392571428572</x:v>
      </x:c>
      <x:c r="N31" s="64"/>
      <x:c r="O31" s="58"/>
      <x:c r="P31" s="58"/>
      <x:c r="Q31" s="36" t="str">
        <x:v>Instagram/TikTok content, campus/community reposts, creator stories.</x:v>
      </x:c>
      <x:c r="R31" s="76"/>
      <x:c r="S31" s="70"/>
      <x:c r="T31" s="36" t="str">
        <x:v>Medium — proxy from landing page/social traffic</x:v>
      </x:c>
    </x:row>
    <x:row r="32">
      <x:c r="A32" s="36" t="str">
        <x:v>Oct</x:v>
      </x:c>
      <x:c r="B32" s="36" t="str">
        <x:v>Micro-Creator Partnerships</x:v>
      </x:c>
      <x:c r="C32" s="46" t="n">
        <x:v>360</x:v>
      </x:c>
      <x:c r="D32" s="58" t="n">
        <x:v>1250</x:v>
      </x:c>
      <x:c r="E32" s="70" t="n">
        <x:v>0.23</x:v>
      </x:c>
      <x:c r="F32" s="64" t="n">
        <x:f>D32*E32</x:f>
        <x:v>287.5</x:v>
      </x:c>
      <x:c r="G32" s="70" t="n">
        <x:v>0.45</x:v>
      </x:c>
      <x:c r="H32" s="64" t="n">
        <x:f>F32*G32</x:f>
        <x:v>129.375</x:v>
      </x:c>
      <x:c r="I32" s="70" t="n">
        <x:v>0.58</x:v>
      </x:c>
      <x:c r="J32" s="64" t="n">
        <x:f>H32*I32</x:f>
        <x:v>75.0375</x:v>
      </x:c>
      <x:c r="K32" s="52" t="n">
        <x:f>IF(J32&gt;0,C32/J32,"")</x:f>
        <x:v>4.7976011994003</x:v>
      </x:c>
      <x:c r="L32" s="52" t="n">
        <x:v>12.24</x:v>
      </x:c>
      <x:c r="M32" s="76" t="n">
        <x:f>IF(K32&gt;0,L32/K32,"")</x:f>
        <x:v>2.551275</x:v>
      </x:c>
      <x:c r="N32" s="64"/>
      <x:c r="O32" s="58"/>
      <x:c r="P32" s="58"/>
      <x:c r="Q32" s="36" t="str">
        <x:v>Small creator shoutouts, product roundups, maker story collaborations.</x:v>
      </x:c>
      <x:c r="R32" s="76"/>
      <x:c r="S32" s="70"/>
      <x:c r="T32" s="36" t="str">
        <x:v>Medium — outreach-based estimate</x:v>
      </x:c>
    </x:row>
    <x:row r="33">
      <x:c r="A33" s="36" t="str">
        <x:v>Oct</x:v>
      </x:c>
      <x:c r="B33" s="36" t="str">
        <x:v>Referral / Share Loop</x:v>
      </x:c>
      <x:c r="C33" s="46" t="n">
        <x:v>0</x:v>
      </x:c>
      <x:c r="D33" s="58"/>
      <x:c r="E33" s="70"/>
      <x:c r="F33" s="64" t="n">
        <x:f>N30*R33*S33</x:f>
        <x:v>29.48081793500901</x:v>
      </x:c>
      <x:c r="G33" s="70" t="n">
        <x:v>0.45</x:v>
      </x:c>
      <x:c r="H33" s="64" t="n">
        <x:f>F33*G33</x:f>
        <x:v>13.266368070754055</x:v>
      </x:c>
      <x:c r="I33" s="70" t="n">
        <x:v>0.58</x:v>
      </x:c>
      <x:c r="J33" s="64" t="n">
        <x:f>H33*I33</x:f>
        <x:v>7.694493481037352</x:v>
      </x:c>
      <x:c r="K33" s="52" t="n">
        <x:f>IF(J33&gt;0,C33/J33,0)</x:f>
        <x:v>0</x:v>
      </x:c>
      <x:c r="L33" s="52" t="n">
        <x:v>12.24</x:v>
      </x:c>
      <x:c r="M33" s="76" t="str">
        <x:f>IF(K33=0,"Free",L33/K33)</x:f>
        <x:v>Free</x:v>
      </x:c>
      <x:c r="N33" s="64"/>
      <x:c r="O33" s="58"/>
      <x:c r="P33" s="58"/>
      <x:c r="Q33" s="36" t="str">
        <x:v>Existing buyers share products/shops with friends. Referral starts after shareable pages ship.</x:v>
      </x:c>
      <x:c r="R33" s="76" t="n">
        <x:v>0.5</x:v>
      </x:c>
      <x:c r="S33" s="70" t="n">
        <x:v>0.2</x:v>
      </x:c>
      <x:c r="T33" s="36" t="str">
        <x:v>Low — not yet measured</x:v>
      </x:c>
    </x:row>
    <x:row r="34">
      <x:c r="A34" s="44" t="str">
        <x:v>Oct</x:v>
      </x:c>
      <x:c r="B34" s="44" t="str">
        <x:v>Seller Onboarding (Supply)</x:v>
      </x:c>
      <x:c r="C34" s="47" t="n">
        <x:v>200</x:v>
      </x:c>
      <x:c r="D34" s="59"/>
      <x:c r="E34" s="71"/>
      <x:c r="F34" s="65"/>
      <x:c r="G34" s="71"/>
      <x:c r="H34" s="65"/>
      <x:c r="I34" s="71"/>
      <x:c r="J34" s="65"/>
      <x:c r="K34" s="53" t="n">
        <x:f>IF(O34&gt;0,C34/O34,"")</x:f>
        <x:v>7.142857142857143</x:v>
      </x:c>
      <x:c r="L34" s="53"/>
      <x:c r="M34" s="77"/>
      <x:c r="N34" s="65"/>
      <x:c r="O34" s="59" t="n">
        <x:v>28</x:v>
      </x:c>
      <x:c r="P34" s="59" t="n">
        <x:f>P29+O34</x:f>
        <x:v>108</x:v>
      </x:c>
      <x:c r="Q34" s="44" t="str">
        <x:v>Manual outreach to handmade creators. CPO here means cost per new seller shop.</x:v>
      </x:c>
      <x:c r="R34" s="77"/>
      <x:c r="S34" s="71"/>
      <x:c r="T34" s="44" t="str">
        <x:v>Medium — based on direct seller outreach capacity</x:v>
      </x:c>
    </x:row>
    <x:row r="35">
      <x:c r="A35" s="41" t="str">
        <x:v>Oct</x:v>
      </x:c>
      <x:c r="B35" s="41" t="str">
        <x:v>Blended Demand</x:v>
      </x:c>
      <x:c r="C35" s="48" t="n">
        <x:f>SUM(C31:C33)</x:f>
        <x:v>570</x:v>
      </x:c>
      <x:c r="D35" s="60" t="n">
        <x:f>SUM(D31:D32)</x:f>
        <x:v>2700</x:v>
      </x:c>
      <x:c r="E35" s="72"/>
      <x:c r="F35" s="66" t="n">
        <x:f>SUM(F31:F33)</x:f>
        <x:v>650.480817935009</x:v>
      </x:c>
      <x:c r="G35" s="72"/>
      <x:c r="H35" s="66" t="n">
        <x:f>SUM(H31:H33)</x:f>
        <x:v>292.71636807075413</x:v>
      </x:c>
      <x:c r="I35" s="72"/>
      <x:c r="J35" s="66" t="n">
        <x:f>SUM(J31:J33)</x:f>
        <x:v>169.77549348103736</x:v>
      </x:c>
      <x:c r="K35" s="54" t="n">
        <x:f>IF(J35&gt;0,C35/J35,"")</x:f>
        <x:v>3.357375015161801</x:v>
      </x:c>
      <x:c r="L35" s="54" t="n">
        <x:v>12.24</x:v>
      </x:c>
      <x:c r="M35" s="78" t="n">
        <x:f>IF(K35&gt;0,L35/K35,"")</x:f>
        <x:v>3.645705333698065</x:v>
      </x:c>
      <x:c r="N35" s="66" t="n">
        <x:f>N30+J35</x:f>
        <x:v>464.58367283112744</x:v>
      </x:c>
      <x:c r="O35" s="60"/>
      <x:c r="P35" s="60"/>
      <x:c r="Q35" s="41" t="str">
        <x:v>Monthly demand-side subtotal. Buyer CAC excludes seller-onboarding spend.</x:v>
      </x:c>
      <x:c r="R35" s="78"/>
      <x:c r="S35" s="72"/>
      <x:c r="T35" s="41" t="str">
        <x:v>Formula row</x:v>
      </x:c>
    </x:row>
    <x:row r="38">
      <x:c r="A38" s="28" t="str">
        <x:v>Scenario Summary</x:v>
      </x:c>
      <x:c r="B38" s="28" t="str">
        <x:v>Final Cum Buyers</x:v>
      </x:c>
      <x:c r="C38" s="28" t="str">
        <x:v>M6 New Retained</x:v>
      </x:c>
      <x:c r="D38" s="28" t="str">
        <x:v>M6 Buyer CAC</x:v>
      </x:c>
      <x:c r="E38" s="28" t="str">
        <x:v>Final Seller Shops</x:v>
      </x:c>
      <x:c r="F38" s="28" t="str">
        <x:v>Total Demand Spend</x:v>
      </x:c>
      <x:c r="G38" s="28" t="str">
        <x:v>Total Seller Spend</x:v>
      </x:c>
      <x:c r="H38" s="28" t="str">
        <x:v>M6 LTV:CAC</x:v>
      </x:c>
    </x:row>
    <x:row r="39">
      <x:c r="A39" s="82" t="str">
        <x:v>Expected Case</x:v>
      </x:c>
      <x:c r="B39" s="84" t="n">
        <x:f>N35</x:f>
        <x:v>464.58367283112744</x:v>
      </x:c>
      <x:c r="C39" s="84" t="n">
        <x:f>J35</x:f>
        <x:v>169.77549348103736</x:v>
      </x:c>
      <x:c r="D39" s="86" t="n">
        <x:f>K35</x:f>
        <x:v>3.357375015161801</x:v>
      </x:c>
      <x:c r="E39" s="88" t="n">
        <x:f>P34</x:f>
        <x:v>108</x:v>
      </x:c>
      <x:c r="F39" s="90" t="n">
        <x:f>SUM(C10,C15,C20,C25,C30,C35)</x:f>
        <x:v>2090</x:v>
      </x:c>
      <x:c r="G39" s="90" t="n">
        <x:f>SUM(C9,C14,C19,C24,C29,C34)</x:f>
        <x:v>960</x:v>
      </x:c>
      <x:c r="H39" s="92" t="n">
        <x:f>M35</x:f>
        <x:v>3.645705333698065</x:v>
      </x:c>
    </x:row>
  </x:sheetData>
  <x:mergeCells>
    <x:mergeCell ref="A1:T1"/>
    <x:mergeCell ref="A2:T2"/>
    <x:mergeCell ref="A4:T4"/>
  </x:mergeCells>
  <x:pageMargins left="0.7" right="0.7" top="0.75" bottom="0.75" header="0.3" footer="0.3"/>
  <x:tableParts count="1">
    <x:tablePart xmlns:r="http://schemas.openxmlformats.org/officeDocument/2006/relationships" r:id="Rcaad6ccc47dd48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2" hidden="0" customWidth="1"/>
    <x:col min="4" max="4" width="12" hidden="0" customWidth="1"/>
    <x:col min="5" max="5" width="15" hidden="0" customWidth="1"/>
    <x:col min="6" max="6" width="12" hidden="0" customWidth="1"/>
    <x:col min="7" max="7" width="14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13" hidden="0" customWidth="1"/>
    <x:col min="13" max="13" width="10" hidden="0" customWidth="1"/>
    <x:col min="14" max="14" width="17" hidden="0" customWidth="1"/>
    <x:col min="15" max="15" width="14" hidden="0" customWidth="1"/>
    <x:col min="16" max="16" width="14" hidden="0" customWidth="1"/>
    <x:col min="17" max="17" width="38" hidden="0" customWidth="1"/>
    <x:col min="18" max="18" width="14" hidden="0" customWidth="1"/>
    <x:col min="19" max="19" width="13" hidden="0" customWidth="1"/>
    <x:col min="20" max="20" width="28" hidden="0" customWidth="1"/>
  </x:cols>
  <x:sheetData>
    <x:row r="1" ht="28" customHeight="1">
      <x:c r="A1" s="132" t="str">
        <x:v>Craft Shop Marketplace — Best Case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33"/>
      <x:c r="R1" s="133"/>
      <x:c r="S1" s="133"/>
      <x:c r="T1" s="133"/>
    </x:row>
    <x:row r="2" ht="22" customHeight="1">
      <x:c r="A2" s="13" t="str">
        <x:v>Stronger creator/product fit: better product photos, smoother seller onboarding, and higher sharing from shop/product links.</x:v>
      </x:c>
    </x:row>
    <x:row r="4" ht="21" customHeight="1">
      <x:c r="A4" s="21" t="str">
        <x:v>All funnel values are formula-driven. Edit input cells in the channel rows or Assumptions tab to test a new projection.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</x:row>
    <x:row r="5" ht="34" customHeight="1">
      <x:c r="A5" s="29" t="str">
        <x:v>Month</x:v>
      </x:c>
      <x:c r="B5" s="29" t="str">
        <x:v>Channel</x:v>
      </x:c>
      <x:c r="C5" s="29" t="str">
        <x:v>Spend (USD)</x:v>
      </x:c>
      <x:c r="D5" s="29" t="str">
        <x:v>Visitors</x:v>
      </x:c>
      <x:c r="E5" s="29" t="str">
        <x:v>Signup / Invite Conv</x:v>
      </x:c>
      <x:c r="F5" s="29" t="str">
        <x:v>Signups</x:v>
      </x:c>
      <x:c r="G5" s="29" t="str">
        <x:v>Activation Rate</x:v>
      </x:c>
      <x:c r="H5" s="29" t="str">
        <x:v>Activated</x:v>
      </x:c>
      <x:c r="I5" s="29" t="str">
        <x:v>D30 Retention</x:v>
      </x:c>
      <x:c r="J5" s="29" t="str">
        <x:v>Retained D30</x:v>
      </x:c>
      <x:c r="K5" s="29" t="str">
        <x:v>CAC / CPO (USD)</x:v>
      </x:c>
      <x:c r="L5" s="29" t="str">
        <x:v>Buyer LTV (USD)</x:v>
      </x:c>
      <x:c r="M5" s="29" t="str">
        <x:v>LTV:CAC</x:v>
      </x:c>
      <x:c r="N5" s="29" t="str">
        <x:v>Cum Retained Buyers</x:v>
      </x:c>
      <x:c r="O5" s="29" t="str">
        <x:v>New Seller Shops</x:v>
      </x:c>
      <x:c r="P5" s="29" t="str">
        <x:v>Cum Seller Shops</x:v>
      </x:c>
      <x:c r="Q5" s="29" t="str">
        <x:v>Notes</x:v>
      </x:c>
      <x:c r="R5" s="29" t="str">
        <x:v>Avg Invites/User</x:v>
      </x:c>
      <x:c r="S5" s="29" t="str">
        <x:v>Referral Conv</x:v>
      </x:c>
      <x:c r="T5" s="29" t="str">
        <x:v>Confidence / Source</x:v>
      </x:c>
    </x:row>
    <x:row r="6">
      <x:c r="A6" s="36" t="str">
        <x:v>May</x:v>
      </x:c>
      <x:c r="B6" s="36" t="str">
        <x:v>Organic Social + Community</x:v>
      </x:c>
      <x:c r="C6" s="46" t="n">
        <x:v>60</x:v>
      </x:c>
      <x:c r="D6" s="58" t="n">
        <x:v>550</x:v>
      </x:c>
      <x:c r="E6" s="70" t="n">
        <x:v>0.22</x:v>
      </x:c>
      <x:c r="F6" s="64" t="n">
        <x:f>D6*E6</x:f>
        <x:v>121</x:v>
      </x:c>
      <x:c r="G6" s="70" t="n">
        <x:v>0.35</x:v>
      </x:c>
      <x:c r="H6" s="64" t="n">
        <x:f>F6*G6</x:f>
        <x:v>42.349999999999994</x:v>
      </x:c>
      <x:c r="I6" s="70" t="n">
        <x:v>0.5</x:v>
      </x:c>
      <x:c r="J6" s="64" t="n">
        <x:f>H6*I6</x:f>
        <x:v>21.174999999999997</x:v>
      </x:c>
      <x:c r="K6" s="52" t="n">
        <x:f>IF(J6&gt;0,C6/J6,"")</x:f>
        <x:v>2.8335301062573794</x:v>
      </x:c>
      <x:c r="L6" s="52" t="n">
        <x:v>12.24</x:v>
      </x:c>
      <x:c r="M6" s="76" t="n">
        <x:f>IF(K6&gt;0,L6/K6,"")</x:f>
        <x:v>4.319699999999999</x:v>
      </x:c>
      <x:c r="N6" s="64"/>
      <x:c r="O6" s="58"/>
      <x:c r="P6" s="58"/>
      <x:c r="Q6" s="36" t="str">
        <x:v>Instagram/TikTok content, campus/community reposts, creator stories.</x:v>
      </x:c>
      <x:c r="R6" s="76"/>
      <x:c r="S6" s="70"/>
      <x:c r="T6" s="36" t="str">
        <x:v>Medium — proxy from landing page/social traffic</x:v>
      </x:c>
    </x:row>
    <x:row r="7">
      <x:c r="A7" s="36" t="str">
        <x:v>May</x:v>
      </x:c>
      <x:c r="B7" s="36" t="str">
        <x:v>Micro-Creator Partnerships</x:v>
      </x:c>
      <x:c r="C7" s="46" t="n">
        <x:v>80</x:v>
      </x:c>
      <x:c r="D7" s="58" t="n">
        <x:v>350</x:v>
      </x:c>
      <x:c r="E7" s="70" t="n">
        <x:v>0.22</x:v>
      </x:c>
      <x:c r="F7" s="64" t="n">
        <x:f>D7*E7</x:f>
        <x:v>77</x:v>
      </x:c>
      <x:c r="G7" s="70" t="n">
        <x:v>0.35</x:v>
      </x:c>
      <x:c r="H7" s="64" t="n">
        <x:f>F7*G7</x:f>
        <x:v>26.95</x:v>
      </x:c>
      <x:c r="I7" s="70" t="n">
        <x:v>0.5</x:v>
      </x:c>
      <x:c r="J7" s="64" t="n">
        <x:f>H7*I7</x:f>
        <x:v>13.475</x:v>
      </x:c>
      <x:c r="K7" s="52" t="n">
        <x:f>IF(J7&gt;0,C7/J7,"")</x:f>
        <x:v>5.936920222634509</x:v>
      </x:c>
      <x:c r="L7" s="52" t="n">
        <x:v>12.24</x:v>
      </x:c>
      <x:c r="M7" s="76" t="n">
        <x:f>IF(K7&gt;0,L7/K7,"")</x:f>
        <x:v>2.0616749999999997</x:v>
      </x:c>
      <x:c r="N7" s="64"/>
      <x:c r="O7" s="58"/>
      <x:c r="P7" s="58"/>
      <x:c r="Q7" s="36" t="str">
        <x:v>Small creator shoutouts, product roundups, maker story collaborations.</x:v>
      </x:c>
      <x:c r="R7" s="76"/>
      <x:c r="S7" s="70"/>
      <x:c r="T7" s="36" t="str">
        <x:v>Medium — outreach-based estimate</x:v>
      </x:c>
    </x:row>
    <x:row r="8">
      <x:c r="A8" s="36" t="str">
        <x:v>May</x:v>
      </x:c>
      <x:c r="B8" s="36" t="str">
        <x:v>Referral / Share Loop</x:v>
      </x:c>
      <x:c r="C8" s="46" t="n">
        <x:v>0</x:v>
      </x:c>
      <x:c r="D8" s="58"/>
      <x:c r="E8" s="70"/>
      <x:c r="F8" s="64" t="n">
        <x:f>0</x:f>
        <x:v>0</x:v>
      </x:c>
      <x:c r="G8" s="70" t="n">
        <x:v>0.35</x:v>
      </x:c>
      <x:c r="H8" s="64" t="n">
        <x:f>F8*G8</x:f>
        <x:v>0</x:v>
      </x:c>
      <x:c r="I8" s="70" t="n">
        <x:v>0.5</x:v>
      </x:c>
      <x:c r="J8" s="64" t="n">
        <x:f>H8*I8</x:f>
        <x:v>0</x:v>
      </x:c>
      <x:c r="K8" s="52" t="n">
        <x:f>IF(J8&gt;0,C8/J8,0)</x:f>
        <x:v>0</x:v>
      </x:c>
      <x:c r="L8" s="52" t="n">
        <x:v>12.24</x:v>
      </x:c>
      <x:c r="M8" s="76" t="str">
        <x:f>IF(K8=0,"Free",L8/K8)</x:f>
        <x:v>Free</x:v>
      </x:c>
      <x:c r="N8" s="64"/>
      <x:c r="O8" s="58"/>
      <x:c r="P8" s="58"/>
      <x:c r="Q8" s="36" t="str">
        <x:v>Existing buyers share products/shops with friends. Referral starts after shareable pages ship.</x:v>
      </x:c>
      <x:c r="R8" s="76" t="n">
        <x:v>0</x:v>
      </x:c>
      <x:c r="S8" s="70" t="n">
        <x:v>0</x:v>
      </x:c>
      <x:c r="T8" s="36" t="str">
        <x:v>Low — not yet measured</x:v>
      </x:c>
    </x:row>
    <x:row r="9">
      <x:c r="A9" s="44" t="str">
        <x:v>May</x:v>
      </x:c>
      <x:c r="B9" s="44" t="str">
        <x:v>Seller Onboarding (Supply)</x:v>
      </x:c>
      <x:c r="C9" s="47" t="n">
        <x:v>120</x:v>
      </x:c>
      <x:c r="D9" s="59"/>
      <x:c r="E9" s="71"/>
      <x:c r="F9" s="65"/>
      <x:c r="G9" s="71"/>
      <x:c r="H9" s="65"/>
      <x:c r="I9" s="71"/>
      <x:c r="J9" s="65"/>
      <x:c r="K9" s="53" t="n">
        <x:f>IF(O9&gt;0,C9/O9,"")</x:f>
        <x:v>12</x:v>
      </x:c>
      <x:c r="L9" s="53"/>
      <x:c r="M9" s="77"/>
      <x:c r="N9" s="65"/>
      <x:c r="O9" s="59" t="n">
        <x:v>10</x:v>
      </x:c>
      <x:c r="P9" s="59" t="n">
        <x:f>O9</x:f>
        <x:v>10</x:v>
      </x:c>
      <x:c r="Q9" s="44" t="str">
        <x:v>Manual outreach to handmade creators. CPO here means cost per new seller shop.</x:v>
      </x:c>
      <x:c r="R9" s="77"/>
      <x:c r="S9" s="71"/>
      <x:c r="T9" s="44" t="str">
        <x:v>Medium — based on direct seller outreach capacity</x:v>
      </x:c>
    </x:row>
    <x:row r="10">
      <x:c r="A10" s="41" t="str">
        <x:v>May</x:v>
      </x:c>
      <x:c r="B10" s="41" t="str">
        <x:v>Blended Demand</x:v>
      </x:c>
      <x:c r="C10" s="48" t="n">
        <x:f>SUM(C6:C8)</x:f>
        <x:v>140</x:v>
      </x:c>
      <x:c r="D10" s="60" t="n">
        <x:f>SUM(D6:D7)</x:f>
        <x:v>900</x:v>
      </x:c>
      <x:c r="E10" s="72"/>
      <x:c r="F10" s="66" t="n">
        <x:f>SUM(F6:F8)</x:f>
        <x:v>198</x:v>
      </x:c>
      <x:c r="G10" s="72"/>
      <x:c r="H10" s="66" t="n">
        <x:f>SUM(H6:H8)</x:f>
        <x:v>69.3</x:v>
      </x:c>
      <x:c r="I10" s="72"/>
      <x:c r="J10" s="66" t="n">
        <x:f>SUM(J6:J8)</x:f>
        <x:v>34.65</x:v>
      </x:c>
      <x:c r="K10" s="54" t="n">
        <x:f>IF(J10&gt;0,C10/J10,"")</x:f>
        <x:v>4.040404040404041</x:v>
      </x:c>
      <x:c r="L10" s="54" t="n">
        <x:v>12.24</x:v>
      </x:c>
      <x:c r="M10" s="78" t="n">
        <x:f>IF(K10&gt;0,L10/K10,"")</x:f>
        <x:v>3.0294</x:v>
      </x:c>
      <x:c r="N10" s="66" t="n">
        <x:f>J10</x:f>
        <x:v>34.65</x:v>
      </x:c>
      <x:c r="O10" s="60"/>
      <x:c r="P10" s="60"/>
      <x:c r="Q10" s="41" t="str">
        <x:v>Monthly demand-side subtotal. Buyer CAC excludes seller-onboarding spend.</x:v>
      </x:c>
      <x:c r="R10" s="78"/>
      <x:c r="S10" s="72"/>
      <x:c r="T10" s="41" t="str">
        <x:v>Formula row</x:v>
      </x:c>
    </x:row>
    <x:row r="11">
      <x:c r="A11" s="36" t="str">
        <x:v>Jun</x:v>
      </x:c>
      <x:c r="B11" s="36" t="str">
        <x:v>Organic Social + Community</x:v>
      </x:c>
      <x:c r="C11" s="46" t="n">
        <x:v>90</x:v>
      </x:c>
      <x:c r="D11" s="58" t="n">
        <x:v>800</x:v>
      </x:c>
      <x:c r="E11" s="70" t="n">
        <x:v>0.24</x:v>
      </x:c>
      <x:c r="F11" s="64" t="n">
        <x:f>D11*E11</x:f>
        <x:v>192</x:v>
      </x:c>
      <x:c r="G11" s="70" t="n">
        <x:v>0.4</x:v>
      </x:c>
      <x:c r="H11" s="64" t="n">
        <x:f>F11*G11</x:f>
        <x:v>76.80000000000001</x:v>
      </x:c>
      <x:c r="I11" s="70" t="n">
        <x:v>0.53</x:v>
      </x:c>
      <x:c r="J11" s="64" t="n">
        <x:f>H11*I11</x:f>
        <x:v>40.70400000000001</x:v>
      </x:c>
      <x:c r="K11" s="52" t="n">
        <x:f>IF(J11&gt;0,C11/J11,"")</x:f>
        <x:v>2.211084905660377</x:v>
      </x:c>
      <x:c r="L11" s="52" t="n">
        <x:v>12.24</x:v>
      </x:c>
      <x:c r="M11" s="76" t="n">
        <x:f>IF(K11&gt;0,L11/K11,"")</x:f>
        <x:v>5.535744000000001</x:v>
      </x:c>
      <x:c r="N11" s="64"/>
      <x:c r="O11" s="58"/>
      <x:c r="P11" s="58"/>
      <x:c r="Q11" s="36" t="str">
        <x:v>Instagram/TikTok content, campus/community reposts, creator stories.</x:v>
      </x:c>
      <x:c r="R11" s="76"/>
      <x:c r="S11" s="70"/>
      <x:c r="T11" s="36" t="str">
        <x:v>Medium — proxy from landing page/social traffic</x:v>
      </x:c>
    </x:row>
    <x:row r="12">
      <x:c r="A12" s="36" t="str">
        <x:v>Jun</x:v>
      </x:c>
      <x:c r="B12" s="36" t="str">
        <x:v>Micro-Creator Partnerships</x:v>
      </x:c>
      <x:c r="C12" s="46" t="n">
        <x:v>120</x:v>
      </x:c>
      <x:c r="D12" s="58" t="n">
        <x:v>600</x:v>
      </x:c>
      <x:c r="E12" s="70" t="n">
        <x:v>0.24</x:v>
      </x:c>
      <x:c r="F12" s="64" t="n">
        <x:f>D12*E12</x:f>
        <x:v>144</x:v>
      </x:c>
      <x:c r="G12" s="70" t="n">
        <x:v>0.4</x:v>
      </x:c>
      <x:c r="H12" s="64" t="n">
        <x:f>F12*G12</x:f>
        <x:v>57.6</x:v>
      </x:c>
      <x:c r="I12" s="70" t="n">
        <x:v>0.53</x:v>
      </x:c>
      <x:c r="J12" s="64" t="n">
        <x:f>H12*I12</x:f>
        <x:v>30.528000000000002</x:v>
      </x:c>
      <x:c r="K12" s="52" t="n">
        <x:f>IF(J12&gt;0,C12/J12,"")</x:f>
        <x:v>3.930817610062893</x:v>
      </x:c>
      <x:c r="L12" s="52" t="n">
        <x:v>12.24</x:v>
      </x:c>
      <x:c r="M12" s="76" t="n">
        <x:f>IF(K12&gt;0,L12/K12,"")</x:f>
        <x:v>3.113856</x:v>
      </x:c>
      <x:c r="N12" s="64"/>
      <x:c r="O12" s="58"/>
      <x:c r="P12" s="58"/>
      <x:c r="Q12" s="36" t="str">
        <x:v>Small creator shoutouts, product roundups, maker story collaborations.</x:v>
      </x:c>
      <x:c r="R12" s="76"/>
      <x:c r="S12" s="70"/>
      <x:c r="T12" s="36" t="str">
        <x:v>Medium — outreach-based estimate</x:v>
      </x:c>
    </x:row>
    <x:row r="13">
      <x:c r="A13" s="36" t="str">
        <x:v>Jun</x:v>
      </x:c>
      <x:c r="B13" s="36" t="str">
        <x:v>Referral / Share Loop</x:v>
      </x:c>
      <x:c r="C13" s="46" t="n">
        <x:v>0</x:v>
      </x:c>
      <x:c r="D13" s="58"/>
      <x:c r="E13" s="70"/>
      <x:c r="F13" s="64" t="n">
        <x:f>N10*R13*S13</x:f>
        <x:v>2.7720000000000002</x:v>
      </x:c>
      <x:c r="G13" s="70" t="n">
        <x:v>0.4</x:v>
      </x:c>
      <x:c r="H13" s="64" t="n">
        <x:f>F13*G13</x:f>
        <x:v>1.1088000000000002</x:v>
      </x:c>
      <x:c r="I13" s="70" t="n">
        <x:v>0.53</x:v>
      </x:c>
      <x:c r="J13" s="64" t="n">
        <x:f>H13*I13</x:f>
        <x:v>0.5876640000000002</x:v>
      </x:c>
      <x:c r="K13" s="52" t="n">
        <x:f>IF(J13&gt;0,C13/J13,0)</x:f>
        <x:v>0</x:v>
      </x:c>
      <x:c r="L13" s="52" t="n">
        <x:v>12.24</x:v>
      </x:c>
      <x:c r="M13" s="76" t="str">
        <x:f>IF(K13=0,"Free",L13/K13)</x:f>
        <x:v>Free</x:v>
      </x:c>
      <x:c r="N13" s="64"/>
      <x:c r="O13" s="58"/>
      <x:c r="P13" s="58"/>
      <x:c r="Q13" s="36" t="str">
        <x:v>Existing buyers share products/shops with friends. Referral starts after shareable pages ship.</x:v>
      </x:c>
      <x:c r="R13" s="76" t="n">
        <x:v>0.4</x:v>
      </x:c>
      <x:c r="S13" s="70" t="n">
        <x:v>0.2</x:v>
      </x:c>
      <x:c r="T13" s="36" t="str">
        <x:v>Low — not yet measured</x:v>
      </x:c>
    </x:row>
    <x:row r="14">
      <x:c r="A14" s="44" t="str">
        <x:v>Jun</x:v>
      </x:c>
      <x:c r="B14" s="44" t="str">
        <x:v>Seller Onboarding (Supply)</x:v>
      </x:c>
      <x:c r="C14" s="47" t="n">
        <x:v>140</x:v>
      </x:c>
      <x:c r="D14" s="59"/>
      <x:c r="E14" s="71"/>
      <x:c r="F14" s="65"/>
      <x:c r="G14" s="71"/>
      <x:c r="H14" s="65"/>
      <x:c r="I14" s="71"/>
      <x:c r="J14" s="65"/>
      <x:c r="K14" s="53" t="n">
        <x:f>IF(O14&gt;0,C14/O14,"")</x:f>
        <x:v>8.75</x:v>
      </x:c>
      <x:c r="L14" s="53"/>
      <x:c r="M14" s="77"/>
      <x:c r="N14" s="65"/>
      <x:c r="O14" s="59" t="n">
        <x:v>16</x:v>
      </x:c>
      <x:c r="P14" s="59" t="n">
        <x:f>P9+O14</x:f>
        <x:v>26</x:v>
      </x:c>
      <x:c r="Q14" s="44" t="str">
        <x:v>Manual outreach to handmade creators. CPO here means cost per new seller shop.</x:v>
      </x:c>
      <x:c r="R14" s="77"/>
      <x:c r="S14" s="71"/>
      <x:c r="T14" s="44" t="str">
        <x:v>Medium — based on direct seller outreach capacity</x:v>
      </x:c>
    </x:row>
    <x:row r="15">
      <x:c r="A15" s="41" t="str">
        <x:v>Jun</x:v>
      </x:c>
      <x:c r="B15" s="41" t="str">
        <x:v>Blended Demand</x:v>
      </x:c>
      <x:c r="C15" s="48" t="n">
        <x:f>SUM(C11:C13)</x:f>
        <x:v>210</x:v>
      </x:c>
      <x:c r="D15" s="60" t="n">
        <x:f>SUM(D11:D12)</x:f>
        <x:v>1400</x:v>
      </x:c>
      <x:c r="E15" s="72"/>
      <x:c r="F15" s="66" t="n">
        <x:f>SUM(F11:F13)</x:f>
        <x:v>338.772</x:v>
      </x:c>
      <x:c r="G15" s="72"/>
      <x:c r="H15" s="66" t="n">
        <x:f>SUM(H11:H13)</x:f>
        <x:v>135.5088</x:v>
      </x:c>
      <x:c r="I15" s="72"/>
      <x:c r="J15" s="66" t="n">
        <x:f>SUM(J11:J13)</x:f>
        <x:v>71.81966400000002</x:v>
      </x:c>
      <x:c r="K15" s="54" t="n">
        <x:f>IF(J15&gt;0,C15/J15,"")</x:f>
        <x:v>2.9239902876738597</x:v>
      </x:c>
      <x:c r="L15" s="54" t="n">
        <x:v>12.24</x:v>
      </x:c>
      <x:c r="M15" s="78" t="n">
        <x:f>IF(K15&gt;0,L15/K15,"")</x:f>
        <x:v>4.186060416000001</x:v>
      </x:c>
      <x:c r="N15" s="66" t="n">
        <x:f>N10+J15</x:f>
        <x:v>106.46966400000002</x:v>
      </x:c>
      <x:c r="O15" s="60"/>
      <x:c r="P15" s="60"/>
      <x:c r="Q15" s="41" t="str">
        <x:v>Monthly demand-side subtotal. Buyer CAC excludes seller-onboarding spend.</x:v>
      </x:c>
      <x:c r="R15" s="78"/>
      <x:c r="S15" s="72"/>
      <x:c r="T15" s="41" t="str">
        <x:v>Formula row</x:v>
      </x:c>
    </x:row>
    <x:row r="16">
      <x:c r="A16" s="36" t="str">
        <x:v>Jul</x:v>
      </x:c>
      <x:c r="B16" s="36" t="str">
        <x:v>Organic Social + Community</x:v>
      </x:c>
      <x:c r="C16" s="46" t="n">
        <x:v>120</x:v>
      </x:c>
      <x:c r="D16" s="58" t="n">
        <x:v>1100</x:v>
      </x:c>
      <x:c r="E16" s="70" t="n">
        <x:v>0.25</x:v>
      </x:c>
      <x:c r="F16" s="64" t="n">
        <x:f>D16*E16</x:f>
        <x:v>275</x:v>
      </x:c>
      <x:c r="G16" s="70" t="n">
        <x:v>0.44</x:v>
      </x:c>
      <x:c r="H16" s="64" t="n">
        <x:f>F16*G16</x:f>
        <x:v>121</x:v>
      </x:c>
      <x:c r="I16" s="70" t="n">
        <x:v>0.56</x:v>
      </x:c>
      <x:c r="J16" s="64" t="n">
        <x:f>H16*I16</x:f>
        <x:v>67.76</x:v>
      </x:c>
      <x:c r="K16" s="52" t="n">
        <x:f>IF(J16&gt;0,C16/J16,"")</x:f>
        <x:v>1.7709563164108617</x:v>
      </x:c>
      <x:c r="L16" s="52" t="n">
        <x:v>12.24</x:v>
      </x:c>
      <x:c r="M16" s="76" t="n">
        <x:f>IF(K16&gt;0,L16/K16,"")</x:f>
        <x:v>6.91152</x:v>
      </x:c>
      <x:c r="N16" s="64"/>
      <x:c r="O16" s="58"/>
      <x:c r="P16" s="58"/>
      <x:c r="Q16" s="36" t="str">
        <x:v>Instagram/TikTok content, campus/community reposts, creator stories.</x:v>
      </x:c>
      <x:c r="R16" s="76"/>
      <x:c r="S16" s="70"/>
      <x:c r="T16" s="36" t="str">
        <x:v>Medium — proxy from landing page/social traffic</x:v>
      </x:c>
    </x:row>
    <x:row r="17">
      <x:c r="A17" s="36" t="str">
        <x:v>Jul</x:v>
      </x:c>
      <x:c r="B17" s="36" t="str">
        <x:v>Micro-Creator Partnerships</x:v>
      </x:c>
      <x:c r="C17" s="46" t="n">
        <x:v>180</x:v>
      </x:c>
      <x:c r="D17" s="58" t="n">
        <x:v>900</x:v>
      </x:c>
      <x:c r="E17" s="70" t="n">
        <x:v>0.25</x:v>
      </x:c>
      <x:c r="F17" s="64" t="n">
        <x:f>D17*E17</x:f>
        <x:v>225</x:v>
      </x:c>
      <x:c r="G17" s="70" t="n">
        <x:v>0.44</x:v>
      </x:c>
      <x:c r="H17" s="64" t="n">
        <x:f>F17*G17</x:f>
        <x:v>99</x:v>
      </x:c>
      <x:c r="I17" s="70" t="n">
        <x:v>0.56</x:v>
      </x:c>
      <x:c r="J17" s="64" t="n">
        <x:f>H17*I17</x:f>
        <x:v>55.440000000000005</x:v>
      </x:c>
      <x:c r="K17" s="52" t="n">
        <x:f>IF(J17&gt;0,C17/J17,"")</x:f>
        <x:v>3.2467532467532463</x:v>
      </x:c>
      <x:c r="L17" s="52" t="n">
        <x:v>12.24</x:v>
      </x:c>
      <x:c r="M17" s="76" t="n">
        <x:f>IF(K17&gt;0,L17/K17,"")</x:f>
        <x:v>3.769920000000001</x:v>
      </x:c>
      <x:c r="N17" s="64"/>
      <x:c r="O17" s="58"/>
      <x:c r="P17" s="58"/>
      <x:c r="Q17" s="36" t="str">
        <x:v>Small creator shoutouts, product roundups, maker story collaborations.</x:v>
      </x:c>
      <x:c r="R17" s="76"/>
      <x:c r="S17" s="70"/>
      <x:c r="T17" s="36" t="str">
        <x:v>Medium — outreach-based estimate</x:v>
      </x:c>
    </x:row>
    <x:row r="18">
      <x:c r="A18" s="36" t="str">
        <x:v>Jul</x:v>
      </x:c>
      <x:c r="B18" s="36" t="str">
        <x:v>Referral / Share Loop</x:v>
      </x:c>
      <x:c r="C18" s="46" t="n">
        <x:v>0</x:v>
      </x:c>
      <x:c r="D18" s="58"/>
      <x:c r="E18" s="70"/>
      <x:c r="F18" s="64" t="n">
        <x:f>N15*R18*S18</x:f>
        <x:v>11.243196518400001</x:v>
      </x:c>
      <x:c r="G18" s="70" t="n">
        <x:v>0.44</x:v>
      </x:c>
      <x:c r="H18" s="64" t="n">
        <x:f>F18*G18</x:f>
        <x:v>4.947006468096</x:v>
      </x:c>
      <x:c r="I18" s="70" t="n">
        <x:v>0.56</x:v>
      </x:c>
      <x:c r="J18" s="64" t="n">
        <x:f>H18*I18</x:f>
        <x:v>2.7703236221337604</x:v>
      </x:c>
      <x:c r="K18" s="52" t="n">
        <x:f>IF(J18&gt;0,C18/J18,0)</x:f>
        <x:v>0</x:v>
      </x:c>
      <x:c r="L18" s="52" t="n">
        <x:v>12.24</x:v>
      </x:c>
      <x:c r="M18" s="76" t="str">
        <x:f>IF(K18=0,"Free",L18/K18)</x:f>
        <x:v>Free</x:v>
      </x:c>
      <x:c r="N18" s="64"/>
      <x:c r="O18" s="58"/>
      <x:c r="P18" s="58"/>
      <x:c r="Q18" s="36" t="str">
        <x:v>Existing buyers share products/shops with friends. Referral starts after shareable pages ship.</x:v>
      </x:c>
      <x:c r="R18" s="76" t="n">
        <x:v>0.48</x:v>
      </x:c>
      <x:c r="S18" s="70" t="n">
        <x:v>0.22</x:v>
      </x:c>
      <x:c r="T18" s="36" t="str">
        <x:v>Low — not yet measured</x:v>
      </x:c>
    </x:row>
    <x:row r="19">
      <x:c r="A19" s="44" t="str">
        <x:v>Jul</x:v>
      </x:c>
      <x:c r="B19" s="44" t="str">
        <x:v>Seller Onboarding (Supply)</x:v>
      </x:c>
      <x:c r="C19" s="47" t="n">
        <x:v>160</x:v>
      </x:c>
      <x:c r="D19" s="59"/>
      <x:c r="E19" s="71"/>
      <x:c r="F19" s="65"/>
      <x:c r="G19" s="71"/>
      <x:c r="H19" s="65"/>
      <x:c r="I19" s="71"/>
      <x:c r="J19" s="65"/>
      <x:c r="K19" s="53" t="n">
        <x:f>IF(O19&gt;0,C19/O19,"")</x:f>
        <x:v>7.2727272727272725</x:v>
      </x:c>
      <x:c r="L19" s="53"/>
      <x:c r="M19" s="77"/>
      <x:c r="N19" s="65"/>
      <x:c r="O19" s="59" t="n">
        <x:v>22</x:v>
      </x:c>
      <x:c r="P19" s="59" t="n">
        <x:f>P14+O19</x:f>
        <x:v>48</x:v>
      </x:c>
      <x:c r="Q19" s="44" t="str">
        <x:v>Manual outreach to handmade creators. CPO here means cost per new seller shop.</x:v>
      </x:c>
      <x:c r="R19" s="77"/>
      <x:c r="S19" s="71"/>
      <x:c r="T19" s="44" t="str">
        <x:v>Medium — based on direct seller outreach capacity</x:v>
      </x:c>
    </x:row>
    <x:row r="20">
      <x:c r="A20" s="41" t="str">
        <x:v>Jul</x:v>
      </x:c>
      <x:c r="B20" s="41" t="str">
        <x:v>Blended Demand</x:v>
      </x:c>
      <x:c r="C20" s="48" t="n">
        <x:f>SUM(C16:C18)</x:f>
        <x:v>300</x:v>
      </x:c>
      <x:c r="D20" s="60" t="n">
        <x:f>SUM(D16:D17)</x:f>
        <x:v>2000</x:v>
      </x:c>
      <x:c r="E20" s="72"/>
      <x:c r="F20" s="66" t="n">
        <x:f>SUM(F16:F18)</x:f>
        <x:v>511.2431965184</x:v>
      </x:c>
      <x:c r="G20" s="72"/>
      <x:c r="H20" s="66" t="n">
        <x:f>SUM(H16:H18)</x:f>
        <x:v>224.947006468096</x:v>
      </x:c>
      <x:c r="I20" s="72"/>
      <x:c r="J20" s="66" t="n">
        <x:f>SUM(J16:J18)</x:f>
        <x:v>125.97032362213378</x:v>
      </x:c>
      <x:c r="K20" s="54" t="n">
        <x:f>IF(J20&gt;0,C20/J20,"")</x:f>
        <x:v>2.381513291177162</x:v>
      </x:c>
      <x:c r="L20" s="54" t="n">
        <x:v>12.24</x:v>
      </x:c>
      <x:c r="M20" s="78" t="n">
        <x:f>IF(K20&gt;0,L20/K20,"")</x:f>
        <x:v>5.139589203783058</x:v>
      </x:c>
      <x:c r="N20" s="66" t="n">
        <x:f>N15+J20</x:f>
        <x:v>232.4399876221338</x:v>
      </x:c>
      <x:c r="O20" s="60"/>
      <x:c r="P20" s="60"/>
      <x:c r="Q20" s="41" t="str">
        <x:v>Monthly demand-side subtotal. Buyer CAC excludes seller-onboarding spend.</x:v>
      </x:c>
      <x:c r="R20" s="78"/>
      <x:c r="S20" s="72"/>
      <x:c r="T20" s="41" t="str">
        <x:v>Formula row</x:v>
      </x:c>
    </x:row>
    <x:row r="21">
      <x:c r="A21" s="36" t="str">
        <x:v>Aug</x:v>
      </x:c>
      <x:c r="B21" s="36" t="str">
        <x:v>Organic Social + Community</x:v>
      </x:c>
      <x:c r="C21" s="46" t="n">
        <x:v>150</x:v>
      </x:c>
      <x:c r="D21" s="58" t="n">
        <x:v>1450</x:v>
      </x:c>
      <x:c r="E21" s="70" t="n">
        <x:v>0.26</x:v>
      </x:c>
      <x:c r="F21" s="64" t="n">
        <x:f>D21*E21</x:f>
        <x:v>377</x:v>
      </x:c>
      <x:c r="G21" s="70" t="n">
        <x:v>0.48</x:v>
      </x:c>
      <x:c r="H21" s="64" t="n">
        <x:f>F21*G21</x:f>
        <x:v>180.95999999999998</x:v>
      </x:c>
      <x:c r="I21" s="70" t="n">
        <x:v>0.58</x:v>
      </x:c>
      <x:c r="J21" s="64" t="n">
        <x:f>H21*I21</x:f>
        <x:v>104.95679999999999</x:v>
      </x:c>
      <x:c r="K21" s="52" t="n">
        <x:f>IF(J21&gt;0,C21/J21,"")</x:f>
        <x:v>1.4291594255922437</x:v>
      </x:c>
      <x:c r="L21" s="52" t="n">
        <x:v>12.24</x:v>
      </x:c>
      <x:c r="M21" s="76" t="n">
        <x:f>IF(K21&gt;0,L21/K21,"")</x:f>
        <x:v>8.56447488</x:v>
      </x:c>
      <x:c r="N21" s="64"/>
      <x:c r="O21" s="58"/>
      <x:c r="P21" s="58"/>
      <x:c r="Q21" s="36" t="str">
        <x:v>Instagram/TikTok content, campus/community reposts, creator stories.</x:v>
      </x:c>
      <x:c r="R21" s="76"/>
      <x:c r="S21" s="70"/>
      <x:c r="T21" s="36" t="str">
        <x:v>Medium — proxy from landing page/social traffic</x:v>
      </x:c>
    </x:row>
    <x:row r="22">
      <x:c r="A22" s="36" t="str">
        <x:v>Aug</x:v>
      </x:c>
      <x:c r="B22" s="36" t="str">
        <x:v>Micro-Creator Partnerships</x:v>
      </x:c>
      <x:c r="C22" s="46" t="n">
        <x:v>240</x:v>
      </x:c>
      <x:c r="D22" s="58" t="n">
        <x:v>1200</x:v>
      </x:c>
      <x:c r="E22" s="70" t="n">
        <x:v>0.26</x:v>
      </x:c>
      <x:c r="F22" s="64" t="n">
        <x:f>D22*E22</x:f>
        <x:v>312</x:v>
      </x:c>
      <x:c r="G22" s="70" t="n">
        <x:v>0.48</x:v>
      </x:c>
      <x:c r="H22" s="64" t="n">
        <x:f>F22*G22</x:f>
        <x:v>149.76</x:v>
      </x:c>
      <x:c r="I22" s="70" t="n">
        <x:v>0.58</x:v>
      </x:c>
      <x:c r="J22" s="64" t="n">
        <x:f>H22*I22</x:f>
        <x:v>86.86079999999998</x:v>
      </x:c>
      <x:c r="K22" s="52" t="n">
        <x:f>IF(J22&gt;0,C22/J22,"")</x:f>
        <x:v>2.763041556145005</x:v>
      </x:c>
      <x:c r="L22" s="52" t="n">
        <x:v>12.24</x:v>
      </x:c>
      <x:c r="M22" s="76" t="n">
        <x:f>IF(K22&gt;0,L22/K22,"")</x:f>
        <x:v>4.4299007999999995</x:v>
      </x:c>
      <x:c r="N22" s="64"/>
      <x:c r="O22" s="58"/>
      <x:c r="P22" s="58"/>
      <x:c r="Q22" s="36" t="str">
        <x:v>Small creator shoutouts, product roundups, maker story collaborations.</x:v>
      </x:c>
      <x:c r="R22" s="76"/>
      <x:c r="S22" s="70"/>
      <x:c r="T22" s="36" t="str">
        <x:v>Medium — outreach-based estimate</x:v>
      </x:c>
    </x:row>
    <x:row r="23">
      <x:c r="A23" s="36" t="str">
        <x:v>Aug</x:v>
      </x:c>
      <x:c r="B23" s="36" t="str">
        <x:v>Referral / Share Loop</x:v>
      </x:c>
      <x:c r="C23" s="46" t="n">
        <x:v>0</x:v>
      </x:c>
      <x:c r="D23" s="58"/>
      <x:c r="E23" s="70"/>
      <x:c r="F23" s="64" t="n">
        <x:f>N20*R23*S23</x:f>
        <x:v>29.40365843419993</x:v>
      </x:c>
      <x:c r="G23" s="70" t="n">
        <x:v>0.48</x:v>
      </x:c>
      <x:c r="H23" s="64" t="n">
        <x:f>F23*G23</x:f>
        <x:v>14.113756048415965</x:v>
      </x:c>
      <x:c r="I23" s="70" t="n">
        <x:v>0.58</x:v>
      </x:c>
      <x:c r="J23" s="64" t="n">
        <x:f>H23*I23</x:f>
        <x:v>8.18597850808126</x:v>
      </x:c>
      <x:c r="K23" s="52" t="n">
        <x:f>IF(J23&gt;0,C23/J23,0)</x:f>
        <x:v>0</x:v>
      </x:c>
      <x:c r="L23" s="52" t="n">
        <x:v>12.24</x:v>
      </x:c>
      <x:c r="M23" s="76" t="str">
        <x:f>IF(K23=0,"Free",L23/K23)</x:f>
        <x:v>Free</x:v>
      </x:c>
      <x:c r="N23" s="64"/>
      <x:c r="O23" s="58"/>
      <x:c r="P23" s="58"/>
      <x:c r="Q23" s="36" t="str">
        <x:v>Existing buyers share products/shops with friends. Referral starts after shareable pages ship.</x:v>
      </x:c>
      <x:c r="R23" s="76" t="n">
        <x:v>0.55</x:v>
      </x:c>
      <x:c r="S23" s="70" t="n">
        <x:v>0.23</x:v>
      </x:c>
      <x:c r="T23" s="36" t="str">
        <x:v>Low — not yet measured</x:v>
      </x:c>
    </x:row>
    <x:row r="24">
      <x:c r="A24" s="44" t="str">
        <x:v>Aug</x:v>
      </x:c>
      <x:c r="B24" s="44" t="str">
        <x:v>Seller Onboarding (Supply)</x:v>
      </x:c>
      <x:c r="C24" s="47" t="n">
        <x:v>160</x:v>
      </x:c>
      <x:c r="D24" s="59"/>
      <x:c r="E24" s="71"/>
      <x:c r="F24" s="65"/>
      <x:c r="G24" s="71"/>
      <x:c r="H24" s="65"/>
      <x:c r="I24" s="71"/>
      <x:c r="J24" s="65"/>
      <x:c r="K24" s="53" t="n">
        <x:f>IF(O24&gt;0,C24/O24,"")</x:f>
        <x:v>5.333333333333333</x:v>
      </x:c>
      <x:c r="L24" s="53"/>
      <x:c r="M24" s="77"/>
      <x:c r="N24" s="65"/>
      <x:c r="O24" s="59" t="n">
        <x:v>30</x:v>
      </x:c>
      <x:c r="P24" s="59" t="n">
        <x:f>P19+O24</x:f>
        <x:v>78</x:v>
      </x:c>
      <x:c r="Q24" s="44" t="str">
        <x:v>Manual outreach to handmade creators. CPO here means cost per new seller shop.</x:v>
      </x:c>
      <x:c r="R24" s="77"/>
      <x:c r="S24" s="71"/>
      <x:c r="T24" s="44" t="str">
        <x:v>Medium — based on direct seller outreach capacity</x:v>
      </x:c>
    </x:row>
    <x:row r="25">
      <x:c r="A25" s="41" t="str">
        <x:v>Aug</x:v>
      </x:c>
      <x:c r="B25" s="41" t="str">
        <x:v>Blended Demand</x:v>
      </x:c>
      <x:c r="C25" s="48" t="n">
        <x:f>SUM(C21:C23)</x:f>
        <x:v>390</x:v>
      </x:c>
      <x:c r="D25" s="60" t="n">
        <x:f>SUM(D21:D22)</x:f>
        <x:v>2650</x:v>
      </x:c>
      <x:c r="E25" s="72"/>
      <x:c r="F25" s="66" t="n">
        <x:f>SUM(F21:F23)</x:f>
        <x:v>718.4036584341999</x:v>
      </x:c>
      <x:c r="G25" s="72"/>
      <x:c r="H25" s="66" t="n">
        <x:f>SUM(H21:H23)</x:f>
        <x:v>344.8337560484159</x:v>
      </x:c>
      <x:c r="I25" s="72"/>
      <x:c r="J25" s="66" t="n">
        <x:f>SUM(J21:J23)</x:f>
        <x:v>200.00357850808123</x:v>
      </x:c>
      <x:c r="K25" s="54" t="n">
        <x:f>IF(J25&gt;0,C25/J25,"")</x:f>
        <x:v>1.9499651101704756</x:v>
      </x:c>
      <x:c r="L25" s="54" t="n">
        <x:v>12.24</x:v>
      </x:c>
      <x:c r="M25" s="78" t="n">
        <x:f>IF(K25&gt;0,L25/K25,"")</x:f>
        <x:v>6.277035387022858</x:v>
      </x:c>
      <x:c r="N25" s="66" t="n">
        <x:f>N20+J25</x:f>
        <x:v>432.443566130215</x:v>
      </x:c>
      <x:c r="O25" s="60"/>
      <x:c r="P25" s="60"/>
      <x:c r="Q25" s="41" t="str">
        <x:v>Monthly demand-side subtotal. Buyer CAC excludes seller-onboarding spend.</x:v>
      </x:c>
      <x:c r="R25" s="78"/>
      <x:c r="S25" s="72"/>
      <x:c r="T25" s="41" t="str">
        <x:v>Formula row</x:v>
      </x:c>
    </x:row>
    <x:row r="26">
      <x:c r="A26" s="36" t="str">
        <x:v>Sep</x:v>
      </x:c>
      <x:c r="B26" s="36" t="str">
        <x:v>Organic Social + Community</x:v>
      </x:c>
      <x:c r="C26" s="46" t="n">
        <x:v>180</x:v>
      </x:c>
      <x:c r="D26" s="58" t="n">
        <x:v>1800</x:v>
      </x:c>
      <x:c r="E26" s="70" t="n">
        <x:v>0.27</x:v>
      </x:c>
      <x:c r="F26" s="64" t="n">
        <x:f>D26*E26</x:f>
        <x:v>486.00000000000006</x:v>
      </x:c>
      <x:c r="G26" s="70" t="n">
        <x:v>0.5</x:v>
      </x:c>
      <x:c r="H26" s="64" t="n">
        <x:f>F26*G26</x:f>
        <x:v>243.00000000000003</x:v>
      </x:c>
      <x:c r="I26" s="70" t="n">
        <x:v>0.6</x:v>
      </x:c>
      <x:c r="J26" s="64" t="n">
        <x:f>H26*I26</x:f>
        <x:v>145.8</x:v>
      </x:c>
      <x:c r="K26" s="52" t="n">
        <x:f>IF(J26&gt;0,C26/J26,"")</x:f>
        <x:v>1.2345679012345678</x:v>
      </x:c>
      <x:c r="L26" s="52" t="n">
        <x:v>12.24</x:v>
      </x:c>
      <x:c r="M26" s="76" t="n">
        <x:f>IF(K26&gt;0,L26/K26,"")</x:f>
        <x:v>9.9144</x:v>
      </x:c>
      <x:c r="N26" s="64"/>
      <x:c r="O26" s="58"/>
      <x:c r="P26" s="58"/>
      <x:c r="Q26" s="36" t="str">
        <x:v>Instagram/TikTok content, campus/community reposts, creator stories.</x:v>
      </x:c>
      <x:c r="R26" s="76"/>
      <x:c r="S26" s="70"/>
      <x:c r="T26" s="36" t="str">
        <x:v>Medium — proxy from landing page/social traffic</x:v>
      </x:c>
    </x:row>
    <x:row r="27">
      <x:c r="A27" s="36" t="str">
        <x:v>Sep</x:v>
      </x:c>
      <x:c r="B27" s="36" t="str">
        <x:v>Micro-Creator Partnerships</x:v>
      </x:c>
      <x:c r="C27" s="46" t="n">
        <x:v>300</x:v>
      </x:c>
      <x:c r="D27" s="58" t="n">
        <x:v>1500</x:v>
      </x:c>
      <x:c r="E27" s="70" t="n">
        <x:v>0.27</x:v>
      </x:c>
      <x:c r="F27" s="64" t="n">
        <x:f>D27*E27</x:f>
        <x:v>405</x:v>
      </x:c>
      <x:c r="G27" s="70" t="n">
        <x:v>0.5</x:v>
      </x:c>
      <x:c r="H27" s="64" t="n">
        <x:f>F27*G27</x:f>
        <x:v>202.5</x:v>
      </x:c>
      <x:c r="I27" s="70" t="n">
        <x:v>0.6</x:v>
      </x:c>
      <x:c r="J27" s="64" t="n">
        <x:f>H27*I27</x:f>
        <x:v>121.5</x:v>
      </x:c>
      <x:c r="K27" s="52" t="n">
        <x:f>IF(J27&gt;0,C27/J27,"")</x:f>
        <x:v>2.4691358024691357</x:v>
      </x:c>
      <x:c r="L27" s="52" t="n">
        <x:v>12.24</x:v>
      </x:c>
      <x:c r="M27" s="76" t="n">
        <x:f>IF(K27&gt;0,L27/K27,"")</x:f>
        <x:v>4.9572</x:v>
      </x:c>
      <x:c r="N27" s="64"/>
      <x:c r="O27" s="58"/>
      <x:c r="P27" s="58"/>
      <x:c r="Q27" s="36" t="str">
        <x:v>Small creator shoutouts, product roundups, maker story collaborations.</x:v>
      </x:c>
      <x:c r="R27" s="76"/>
      <x:c r="S27" s="70"/>
      <x:c r="T27" s="36" t="str">
        <x:v>Medium — outreach-based estimate</x:v>
      </x:c>
    </x:row>
    <x:row r="28">
      <x:c r="A28" s="36" t="str">
        <x:v>Sep</x:v>
      </x:c>
      <x:c r="B28" s="36" t="str">
        <x:v>Referral / Share Loop</x:v>
      </x:c>
      <x:c r="C28" s="46" t="n">
        <x:v>0</x:v>
      </x:c>
      <x:c r="D28" s="58"/>
      <x:c r="E28" s="70"/>
      <x:c r="F28" s="64" t="n">
        <x:f>N25*R28*S28</x:f>
        <x:v>62.27187352275095</x:v>
      </x:c>
      <x:c r="G28" s="70" t="n">
        <x:v>0.5</x:v>
      </x:c>
      <x:c r="H28" s="64" t="n">
        <x:f>F28*G28</x:f>
        <x:v>31.135936761375476</x:v>
      </x:c>
      <x:c r="I28" s="70" t="n">
        <x:v>0.6</x:v>
      </x:c>
      <x:c r="J28" s="64" t="n">
        <x:f>H28*I28</x:f>
        <x:v>18.681562056825285</x:v>
      </x:c>
      <x:c r="K28" s="52" t="n">
        <x:f>IF(J28&gt;0,C28/J28,0)</x:f>
        <x:v>0</x:v>
      </x:c>
      <x:c r="L28" s="52" t="n">
        <x:v>12.24</x:v>
      </x:c>
      <x:c r="M28" s="76" t="str">
        <x:f>IF(K28=0,"Free",L28/K28)</x:f>
        <x:v>Free</x:v>
      </x:c>
      <x:c r="N28" s="64"/>
      <x:c r="O28" s="58"/>
      <x:c r="P28" s="58"/>
      <x:c r="Q28" s="36" t="str">
        <x:v>Existing buyers share products/shops with friends. Referral starts after shareable pages ship.</x:v>
      </x:c>
      <x:c r="R28" s="76" t="n">
        <x:v>0.6</x:v>
      </x:c>
      <x:c r="S28" s="70" t="n">
        <x:v>0.24</x:v>
      </x:c>
      <x:c r="T28" s="36" t="str">
        <x:v>Low — not yet measured</x:v>
      </x:c>
    </x:row>
    <x:row r="29">
      <x:c r="A29" s="44" t="str">
        <x:v>Sep</x:v>
      </x:c>
      <x:c r="B29" s="44" t="str">
        <x:v>Seller Onboarding (Supply)</x:v>
      </x:c>
      <x:c r="C29" s="47" t="n">
        <x:v>180</x:v>
      </x:c>
      <x:c r="D29" s="59"/>
      <x:c r="E29" s="71"/>
      <x:c r="F29" s="65"/>
      <x:c r="G29" s="71"/>
      <x:c r="H29" s="65"/>
      <x:c r="I29" s="71"/>
      <x:c r="J29" s="65"/>
      <x:c r="K29" s="53" t="n">
        <x:f>IF(O29&gt;0,C29/O29,"")</x:f>
        <x:v>5</x:v>
      </x:c>
      <x:c r="L29" s="53"/>
      <x:c r="M29" s="77"/>
      <x:c r="N29" s="65"/>
      <x:c r="O29" s="59" t="n">
        <x:v>36</x:v>
      </x:c>
      <x:c r="P29" s="59" t="n">
        <x:f>P24+O29</x:f>
        <x:v>114</x:v>
      </x:c>
      <x:c r="Q29" s="44" t="str">
        <x:v>Manual outreach to handmade creators. CPO here means cost per new seller shop.</x:v>
      </x:c>
      <x:c r="R29" s="77"/>
      <x:c r="S29" s="71"/>
      <x:c r="T29" s="44" t="str">
        <x:v>Medium — based on direct seller outreach capacity</x:v>
      </x:c>
    </x:row>
    <x:row r="30">
      <x:c r="A30" s="41" t="str">
        <x:v>Sep</x:v>
      </x:c>
      <x:c r="B30" s="41" t="str">
        <x:v>Blended Demand</x:v>
      </x:c>
      <x:c r="C30" s="48" t="n">
        <x:f>SUM(C26:C28)</x:f>
        <x:v>480</x:v>
      </x:c>
      <x:c r="D30" s="60" t="n">
        <x:f>SUM(D26:D27)</x:f>
        <x:v>3300</x:v>
      </x:c>
      <x:c r="E30" s="72"/>
      <x:c r="F30" s="66" t="n">
        <x:f>SUM(F26:F28)</x:f>
        <x:v>953.271873522751</x:v>
      </x:c>
      <x:c r="G30" s="72"/>
      <x:c r="H30" s="66" t="n">
        <x:f>SUM(H26:H28)</x:f>
        <x:v>476.6359367613755</x:v>
      </x:c>
      <x:c r="I30" s="72"/>
      <x:c r="J30" s="66" t="n">
        <x:f>SUM(J26:J28)</x:f>
        <x:v>285.9815620568253</x:v>
      </x:c>
      <x:c r="K30" s="54" t="n">
        <x:f>IF(J30&gt;0,C30/J30,"")</x:f>
        <x:v>1.6784298838979792</x:v>
      </x:c>
      <x:c r="L30" s="54" t="n">
        <x:v>12.24</x:v>
      </x:c>
      <x:c r="M30" s="78" t="n">
        <x:f>IF(K30&gt;0,L30/K30,"")</x:f>
        <x:v>7.292529832449045</x:v>
      </x:c>
      <x:c r="N30" s="66" t="n">
        <x:f>N25+J30</x:f>
        <x:v>718.4251281870403</x:v>
      </x:c>
      <x:c r="O30" s="60"/>
      <x:c r="P30" s="60"/>
      <x:c r="Q30" s="41" t="str">
        <x:v>Monthly demand-side subtotal. Buyer CAC excludes seller-onboarding spend.</x:v>
      </x:c>
      <x:c r="R30" s="78"/>
      <x:c r="S30" s="72"/>
      <x:c r="T30" s="41" t="str">
        <x:v>Formula row</x:v>
      </x:c>
    </x:row>
    <x:row r="31">
      <x:c r="A31" s="36" t="str">
        <x:v>Oct</x:v>
      </x:c>
      <x:c r="B31" s="36" t="str">
        <x:v>Organic Social + Community</x:v>
      </x:c>
      <x:c r="C31" s="46" t="n">
        <x:v>210</x:v>
      </x:c>
      <x:c r="D31" s="58" t="n">
        <x:v>2200</x:v>
      </x:c>
      <x:c r="E31" s="70" t="n">
        <x:v>0.28</x:v>
      </x:c>
      <x:c r="F31" s="64" t="n">
        <x:f>D31*E31</x:f>
        <x:v>616.0000000000001</x:v>
      </x:c>
      <x:c r="G31" s="70" t="n">
        <x:v>0.52</x:v>
      </x:c>
      <x:c r="H31" s="64" t="n">
        <x:f>F31*G31</x:f>
        <x:v>320.32000000000005</x:v>
      </x:c>
      <x:c r="I31" s="70" t="n">
        <x:v>0.62</x:v>
      </x:c>
      <x:c r="J31" s="64" t="n">
        <x:f>H31*I31</x:f>
        <x:v>198.59840000000003</x:v>
      </x:c>
      <x:c r="K31" s="52" t="n">
        <x:f>IF(J31&gt;0,C31/J31,"")</x:f>
        <x:v>1.0574103316038799</x:v>
      </x:c>
      <x:c r="L31" s="52" t="n">
        <x:v>12.24</x:v>
      </x:c>
      <x:c r="M31" s="76" t="n">
        <x:f>IF(K31&gt;0,L31/K31,"")</x:f>
        <x:v>11.5754496</x:v>
      </x:c>
      <x:c r="N31" s="64"/>
      <x:c r="O31" s="58"/>
      <x:c r="P31" s="58"/>
      <x:c r="Q31" s="36" t="str">
        <x:v>Instagram/TikTok content, campus/community reposts, creator stories.</x:v>
      </x:c>
      <x:c r="R31" s="76"/>
      <x:c r="S31" s="70"/>
      <x:c r="T31" s="36" t="str">
        <x:v>Medium — proxy from landing page/social traffic</x:v>
      </x:c>
    </x:row>
    <x:row r="32">
      <x:c r="A32" s="36" t="str">
        <x:v>Oct</x:v>
      </x:c>
      <x:c r="B32" s="36" t="str">
        <x:v>Micro-Creator Partnerships</x:v>
      </x:c>
      <x:c r="C32" s="46" t="n">
        <x:v>360</x:v>
      </x:c>
      <x:c r="D32" s="58" t="n">
        <x:v>1800</x:v>
      </x:c>
      <x:c r="E32" s="70" t="n">
        <x:v>0.28</x:v>
      </x:c>
      <x:c r="F32" s="64" t="n">
        <x:f>D32*E32</x:f>
        <x:v>504.00000000000006</x:v>
      </x:c>
      <x:c r="G32" s="70" t="n">
        <x:v>0.52</x:v>
      </x:c>
      <x:c r="H32" s="64" t="n">
        <x:f>F32*G32</x:f>
        <x:v>262.08000000000004</x:v>
      </x:c>
      <x:c r="I32" s="70" t="n">
        <x:v>0.62</x:v>
      </x:c>
      <x:c r="J32" s="64" t="n">
        <x:f>H32*I32</x:f>
        <x:v>162.48960000000002</x:v>
      </x:c>
      <x:c r="K32" s="52" t="n">
        <x:f>IF(J32&gt;0,C32/J32,"")</x:f>
        <x:v>2.215526409074796</x:v>
      </x:c>
      <x:c r="L32" s="52" t="n">
        <x:v>12.24</x:v>
      </x:c>
      <x:c r="M32" s="76" t="n">
        <x:f>IF(K32&gt;0,L32/K32,"")</x:f>
        <x:v>5.524646400000001</x:v>
      </x:c>
      <x:c r="N32" s="64"/>
      <x:c r="O32" s="58"/>
      <x:c r="P32" s="58"/>
      <x:c r="Q32" s="36" t="str">
        <x:v>Small creator shoutouts, product roundups, maker story collaborations.</x:v>
      </x:c>
      <x:c r="R32" s="76"/>
      <x:c r="S32" s="70"/>
      <x:c r="T32" s="36" t="str">
        <x:v>Medium — outreach-based estimate</x:v>
      </x:c>
    </x:row>
    <x:row r="33">
      <x:c r="A33" s="36" t="str">
        <x:v>Oct</x:v>
      </x:c>
      <x:c r="B33" s="36" t="str">
        <x:v>Referral / Share Loop</x:v>
      </x:c>
      <x:c r="C33" s="46" t="n">
        <x:v>0</x:v>
      </x:c>
      <x:c r="D33" s="58"/>
      <x:c r="E33" s="70"/>
      <x:c r="F33" s="64" t="n">
        <x:f>N30*R33*S33</x:f>
        <x:v>116.74408333039405</x:v>
      </x:c>
      <x:c r="G33" s="70" t="n">
        <x:v>0.52</x:v>
      </x:c>
      <x:c r="H33" s="64" t="n">
        <x:f>F33*G33</x:f>
        <x:v>60.70692333180491</x:v>
      </x:c>
      <x:c r="I33" s="70" t="n">
        <x:v>0.62</x:v>
      </x:c>
      <x:c r="J33" s="64" t="n">
        <x:f>H33*I33</x:f>
        <x:v>37.63829246571904</x:v>
      </x:c>
      <x:c r="K33" s="52" t="n">
        <x:f>IF(J33&gt;0,C33/J33,0)</x:f>
        <x:v>0</x:v>
      </x:c>
      <x:c r="L33" s="52" t="n">
        <x:v>12.24</x:v>
      </x:c>
      <x:c r="M33" s="76" t="str">
        <x:f>IF(K33=0,"Free",L33/K33)</x:f>
        <x:v>Free</x:v>
      </x:c>
      <x:c r="N33" s="64"/>
      <x:c r="O33" s="58"/>
      <x:c r="P33" s="58"/>
      <x:c r="Q33" s="36" t="str">
        <x:v>Existing buyers share products/shops with friends. Referral starts after shareable pages ship.</x:v>
      </x:c>
      <x:c r="R33" s="76" t="n">
        <x:v>0.65</x:v>
      </x:c>
      <x:c r="S33" s="70" t="n">
        <x:v>0.25</x:v>
      </x:c>
      <x:c r="T33" s="36" t="str">
        <x:v>Low — not yet measured</x:v>
      </x:c>
    </x:row>
    <x:row r="34">
      <x:c r="A34" s="44" t="str">
        <x:v>Oct</x:v>
      </x:c>
      <x:c r="B34" s="44" t="str">
        <x:v>Seller Onboarding (Supply)</x:v>
      </x:c>
      <x:c r="C34" s="47" t="n">
        <x:v>200</x:v>
      </x:c>
      <x:c r="D34" s="59"/>
      <x:c r="E34" s="71"/>
      <x:c r="F34" s="65"/>
      <x:c r="G34" s="71"/>
      <x:c r="H34" s="65"/>
      <x:c r="I34" s="71"/>
      <x:c r="J34" s="65"/>
      <x:c r="K34" s="53" t="n">
        <x:f>IF(O34&gt;0,C34/O34,"")</x:f>
        <x:v>4.545454545454546</x:v>
      </x:c>
      <x:c r="L34" s="53"/>
      <x:c r="M34" s="77"/>
      <x:c r="N34" s="65"/>
      <x:c r="O34" s="59" t="n">
        <x:v>44</x:v>
      </x:c>
      <x:c r="P34" s="59" t="n">
        <x:f>P29+O34</x:f>
        <x:v>158</x:v>
      </x:c>
      <x:c r="Q34" s="44" t="str">
        <x:v>Manual outreach to handmade creators. CPO here means cost per new seller shop.</x:v>
      </x:c>
      <x:c r="R34" s="77"/>
      <x:c r="S34" s="71"/>
      <x:c r="T34" s="44" t="str">
        <x:v>Medium — based on direct seller outreach capacity</x:v>
      </x:c>
    </x:row>
    <x:row r="35">
      <x:c r="A35" s="41" t="str">
        <x:v>Oct</x:v>
      </x:c>
      <x:c r="B35" s="41" t="str">
        <x:v>Blended Demand</x:v>
      </x:c>
      <x:c r="C35" s="48" t="n">
        <x:f>SUM(C31:C33)</x:f>
        <x:v>570</x:v>
      </x:c>
      <x:c r="D35" s="60" t="n">
        <x:f>SUM(D31:D32)</x:f>
        <x:v>4000</x:v>
      </x:c>
      <x:c r="E35" s="72"/>
      <x:c r="F35" s="66" t="n">
        <x:f>SUM(F31:F33)</x:f>
        <x:v>1236.7440833303942</x:v>
      </x:c>
      <x:c r="G35" s="72"/>
      <x:c r="H35" s="66" t="n">
        <x:f>SUM(H31:H33)</x:f>
        <x:v>643.106923331805</x:v>
      </x:c>
      <x:c r="I35" s="72"/>
      <x:c r="J35" s="66" t="n">
        <x:f>SUM(J31:J33)</x:f>
        <x:v>398.7262924657191</x:v>
      </x:c>
      <x:c r="K35" s="54" t="n">
        <x:f>IF(J35&gt;0,C35/J35,"")</x:f>
        <x:v>1.4295520781314073</x:v>
      </x:c>
      <x:c r="L35" s="54" t="n">
        <x:v>12.24</x:v>
      </x:c>
      <x:c r="M35" s="78" t="n">
        <x:f>IF(K35&gt;0,L35/K35,"")</x:f>
        <x:v>8.56212249084281</x:v>
      </x:c>
      <x:c r="N35" s="66" t="n">
        <x:f>N30+J35</x:f>
        <x:v>1117.1514206527595</x:v>
      </x:c>
      <x:c r="O35" s="60"/>
      <x:c r="P35" s="60"/>
      <x:c r="Q35" s="41" t="str">
        <x:v>Monthly demand-side subtotal. Buyer CAC excludes seller-onboarding spend.</x:v>
      </x:c>
      <x:c r="R35" s="78"/>
      <x:c r="S35" s="72"/>
      <x:c r="T35" s="41" t="str">
        <x:v>Formula row</x:v>
      </x:c>
    </x:row>
    <x:row r="38">
      <x:c r="A38" s="28" t="str">
        <x:v>Scenario Summary</x:v>
      </x:c>
      <x:c r="B38" s="28" t="str">
        <x:v>Final Cum Buyers</x:v>
      </x:c>
      <x:c r="C38" s="28" t="str">
        <x:v>M6 New Retained</x:v>
      </x:c>
      <x:c r="D38" s="28" t="str">
        <x:v>M6 Buyer CAC</x:v>
      </x:c>
      <x:c r="E38" s="28" t="str">
        <x:v>Final Seller Shops</x:v>
      </x:c>
      <x:c r="F38" s="28" t="str">
        <x:v>Total Demand Spend</x:v>
      </x:c>
      <x:c r="G38" s="28" t="str">
        <x:v>Total Seller Spend</x:v>
      </x:c>
      <x:c r="H38" s="28" t="str">
        <x:v>M6 LTV:CAC</x:v>
      </x:c>
    </x:row>
    <x:row r="39">
      <x:c r="A39" s="82" t="str">
        <x:v>Best Case</x:v>
      </x:c>
      <x:c r="B39" s="84" t="n">
        <x:f>N35</x:f>
        <x:v>1117.1514206527595</x:v>
      </x:c>
      <x:c r="C39" s="84" t="n">
        <x:f>J35</x:f>
        <x:v>398.7262924657191</x:v>
      </x:c>
      <x:c r="D39" s="86" t="n">
        <x:f>K35</x:f>
        <x:v>1.4295520781314073</x:v>
      </x:c>
      <x:c r="E39" s="88" t="n">
        <x:f>P34</x:f>
        <x:v>158</x:v>
      </x:c>
      <x:c r="F39" s="90" t="n">
        <x:f>SUM(C10,C15,C20,C25,C30,C35)</x:f>
        <x:v>2090</x:v>
      </x:c>
      <x:c r="G39" s="90" t="n">
        <x:f>SUM(C9,C14,C19,C24,C29,C34)</x:f>
        <x:v>960</x:v>
      </x:c>
      <x:c r="H39" s="92" t="n">
        <x:f>M35</x:f>
        <x:v>8.56212249084281</x:v>
      </x:c>
    </x:row>
  </x:sheetData>
  <x:mergeCells>
    <x:mergeCell ref="A1:T1"/>
    <x:mergeCell ref="A2:T2"/>
    <x:mergeCell ref="A4:T4"/>
  </x:mergeCells>
  <x:pageMargins left="0.7" right="0.7" top="0.75" bottom="0.75" header="0.3" footer="0.3"/>
  <x:tableParts count="1">
    <x:tablePart xmlns:r="http://schemas.openxmlformats.org/officeDocument/2006/relationships" r:id="R6f6e906331eb45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2" hidden="0" customWidth="1"/>
    <x:col min="4" max="4" width="12" hidden="0" customWidth="1"/>
    <x:col min="5" max="5" width="15" hidden="0" customWidth="1"/>
    <x:col min="6" max="6" width="12" hidden="0" customWidth="1"/>
    <x:col min="7" max="7" width="14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13" hidden="0" customWidth="1"/>
    <x:col min="13" max="13" width="10" hidden="0" customWidth="1"/>
    <x:col min="14" max="14" width="17" hidden="0" customWidth="1"/>
    <x:col min="15" max="15" width="14" hidden="0" customWidth="1"/>
    <x:col min="16" max="16" width="14" hidden="0" customWidth="1"/>
    <x:col min="17" max="17" width="38" hidden="0" customWidth="1"/>
    <x:col min="18" max="18" width="14" hidden="0" customWidth="1"/>
    <x:col min="19" max="19" width="13" hidden="0" customWidth="1"/>
    <x:col min="20" max="20" width="28" hidden="0" customWidth="1"/>
  </x:cols>
  <x:sheetData>
    <x:row r="1" ht="28" customHeight="1">
      <x:c r="A1" s="132" t="str">
        <x:v>Craft Shop Marketplace — Worst Case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33"/>
      <x:c r="R1" s="133"/>
      <x:c r="S1" s="133"/>
      <x:c r="T1" s="133"/>
    </x:row>
    <x:row r="2" ht="22" customHeight="1">
      <x:c r="A2" s="13" t="str">
        <x:v>Distribution is harder than expected: lower social reach, weaker conversion, and referral loop produces limited incremental demand.</x:v>
      </x:c>
    </x:row>
    <x:row r="4" ht="21" customHeight="1">
      <x:c r="A4" s="21" t="str">
        <x:v>All funnel values are formula-driven. Edit input cells in the channel rows or Assumptions tab to test a new projection.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</x:row>
    <x:row r="5" ht="34" customHeight="1">
      <x:c r="A5" s="29" t="str">
        <x:v>Month</x:v>
      </x:c>
      <x:c r="B5" s="29" t="str">
        <x:v>Channel</x:v>
      </x:c>
      <x:c r="C5" s="29" t="str">
        <x:v>Spend (USD)</x:v>
      </x:c>
      <x:c r="D5" s="29" t="str">
        <x:v>Visitors</x:v>
      </x:c>
      <x:c r="E5" s="29" t="str">
        <x:v>Signup / Invite Conv</x:v>
      </x:c>
      <x:c r="F5" s="29" t="str">
        <x:v>Signups</x:v>
      </x:c>
      <x:c r="G5" s="29" t="str">
        <x:v>Activation Rate</x:v>
      </x:c>
      <x:c r="H5" s="29" t="str">
        <x:v>Activated</x:v>
      </x:c>
      <x:c r="I5" s="29" t="str">
        <x:v>D30 Retention</x:v>
      </x:c>
      <x:c r="J5" s="29" t="str">
        <x:v>Retained D30</x:v>
      </x:c>
      <x:c r="K5" s="29" t="str">
        <x:v>CAC / CPO (USD)</x:v>
      </x:c>
      <x:c r="L5" s="29" t="str">
        <x:v>Buyer LTV (USD)</x:v>
      </x:c>
      <x:c r="M5" s="29" t="str">
        <x:v>LTV:CAC</x:v>
      </x:c>
      <x:c r="N5" s="29" t="str">
        <x:v>Cum Retained Buyers</x:v>
      </x:c>
      <x:c r="O5" s="29" t="str">
        <x:v>New Seller Shops</x:v>
      </x:c>
      <x:c r="P5" s="29" t="str">
        <x:v>Cum Seller Shops</x:v>
      </x:c>
      <x:c r="Q5" s="29" t="str">
        <x:v>Notes</x:v>
      </x:c>
      <x:c r="R5" s="29" t="str">
        <x:v>Avg Invites/User</x:v>
      </x:c>
      <x:c r="S5" s="29" t="str">
        <x:v>Referral Conv</x:v>
      </x:c>
      <x:c r="T5" s="29" t="str">
        <x:v>Confidence / Source</x:v>
      </x:c>
    </x:row>
    <x:row r="6">
      <x:c r="A6" s="36" t="str">
        <x:v>May</x:v>
      </x:c>
      <x:c r="B6" s="36" t="str">
        <x:v>Organic Social + Community</x:v>
      </x:c>
      <x:c r="C6" s="46" t="n">
        <x:v>60</x:v>
      </x:c>
      <x:c r="D6" s="58" t="n">
        <x:v>275</x:v>
      </x:c>
      <x:c r="E6" s="70" t="n">
        <x:v>0.12</x:v>
      </x:c>
      <x:c r="F6" s="64" t="n">
        <x:f>D6*E6</x:f>
        <x:v>33</x:v>
      </x:c>
      <x:c r="G6" s="70" t="n">
        <x:v>0.22</x:v>
      </x:c>
      <x:c r="H6" s="64" t="n">
        <x:f>F6*G6</x:f>
        <x:v>7.26</x:v>
      </x:c>
      <x:c r="I6" s="70" t="n">
        <x:v>0.35</x:v>
      </x:c>
      <x:c r="J6" s="64" t="n">
        <x:f>H6*I6</x:f>
        <x:v>2.541</x:v>
      </x:c>
      <x:c r="K6" s="52" t="n">
        <x:f>IF(J6&gt;0,C6/J6,"")</x:f>
        <x:v>23.61275088547816</x:v>
      </x:c>
      <x:c r="L6" s="52" t="n">
        <x:v>12.24</x:v>
      </x:c>
      <x:c r="M6" s="76" t="n">
        <x:f>IF(K6&gt;0,L6/K6,"")</x:f>
        <x:v>0.5183639999999999</x:v>
      </x:c>
      <x:c r="N6" s="64"/>
      <x:c r="O6" s="58"/>
      <x:c r="P6" s="58"/>
      <x:c r="Q6" s="36" t="str">
        <x:v>Instagram/TikTok content, campus/community reposts, creator stories.</x:v>
      </x:c>
      <x:c r="R6" s="76"/>
      <x:c r="S6" s="70"/>
      <x:c r="T6" s="36" t="str">
        <x:v>Medium — proxy from landing page/social traffic</x:v>
      </x:c>
    </x:row>
    <x:row r="7">
      <x:c r="A7" s="36" t="str">
        <x:v>May</x:v>
      </x:c>
      <x:c r="B7" s="36" t="str">
        <x:v>Micro-Creator Partnerships</x:v>
      </x:c>
      <x:c r="C7" s="46" t="n">
        <x:v>80</x:v>
      </x:c>
      <x:c r="D7" s="58" t="n">
        <x:v>125</x:v>
      </x:c>
      <x:c r="E7" s="70" t="n">
        <x:v>0.12</x:v>
      </x:c>
      <x:c r="F7" s="64" t="n">
        <x:f>D7*E7</x:f>
        <x:v>15</x:v>
      </x:c>
      <x:c r="G7" s="70" t="n">
        <x:v>0.22</x:v>
      </x:c>
      <x:c r="H7" s="64" t="n">
        <x:f>F7*G7</x:f>
        <x:v>3.3</x:v>
      </x:c>
      <x:c r="I7" s="70" t="n">
        <x:v>0.35</x:v>
      </x:c>
      <x:c r="J7" s="64" t="n">
        <x:f>H7*I7</x:f>
        <x:v>1.1549999999999998</x:v>
      </x:c>
      <x:c r="K7" s="52" t="n">
        <x:f>IF(J7&gt;0,C7/J7,"")</x:f>
        <x:v>69.26406926406928</x:v>
      </x:c>
      <x:c r="L7" s="52" t="n">
        <x:v>12.24</x:v>
      </x:c>
      <x:c r="M7" s="76" t="n">
        <x:f>IF(K7&gt;0,L7/K7,"")</x:f>
        <x:v>0.17671499999999996</x:v>
      </x:c>
      <x:c r="N7" s="64"/>
      <x:c r="O7" s="58"/>
      <x:c r="P7" s="58"/>
      <x:c r="Q7" s="36" t="str">
        <x:v>Small creator shoutouts, product roundups, maker story collaborations.</x:v>
      </x:c>
      <x:c r="R7" s="76"/>
      <x:c r="S7" s="70"/>
      <x:c r="T7" s="36" t="str">
        <x:v>Medium — outreach-based estimate</x:v>
      </x:c>
    </x:row>
    <x:row r="8">
      <x:c r="A8" s="36" t="str">
        <x:v>May</x:v>
      </x:c>
      <x:c r="B8" s="36" t="str">
        <x:v>Referral / Share Loop</x:v>
      </x:c>
      <x:c r="C8" s="46" t="n">
        <x:v>0</x:v>
      </x:c>
      <x:c r="D8" s="58"/>
      <x:c r="E8" s="70"/>
      <x:c r="F8" s="64" t="n">
        <x:f>0</x:f>
        <x:v>0</x:v>
      </x:c>
      <x:c r="G8" s="70" t="n">
        <x:v>0.22</x:v>
      </x:c>
      <x:c r="H8" s="64" t="n">
        <x:f>F8*G8</x:f>
        <x:v>0</x:v>
      </x:c>
      <x:c r="I8" s="70" t="n">
        <x:v>0.35</x:v>
      </x:c>
      <x:c r="J8" s="64" t="n">
        <x:f>H8*I8</x:f>
        <x:v>0</x:v>
      </x:c>
      <x:c r="K8" s="52" t="n">
        <x:f>IF(J8&gt;0,C8/J8,0)</x:f>
        <x:v>0</x:v>
      </x:c>
      <x:c r="L8" s="52" t="n">
        <x:v>12.24</x:v>
      </x:c>
      <x:c r="M8" s="76" t="str">
        <x:f>IF(K8=0,"Free",L8/K8)</x:f>
        <x:v>Free</x:v>
      </x:c>
      <x:c r="N8" s="64"/>
      <x:c r="O8" s="58"/>
      <x:c r="P8" s="58"/>
      <x:c r="Q8" s="36" t="str">
        <x:v>Existing buyers share products/shops with friends. Referral starts after shareable pages ship.</x:v>
      </x:c>
      <x:c r="R8" s="76" t="n">
        <x:v>0</x:v>
      </x:c>
      <x:c r="S8" s="70" t="n">
        <x:v>0</x:v>
      </x:c>
      <x:c r="T8" s="36" t="str">
        <x:v>Low — not yet measured</x:v>
      </x:c>
    </x:row>
    <x:row r="9">
      <x:c r="A9" s="44" t="str">
        <x:v>May</x:v>
      </x:c>
      <x:c r="B9" s="44" t="str">
        <x:v>Seller Onboarding (Supply)</x:v>
      </x:c>
      <x:c r="C9" s="47" t="n">
        <x:v>120</x:v>
      </x:c>
      <x:c r="D9" s="59"/>
      <x:c r="E9" s="71"/>
      <x:c r="F9" s="65"/>
      <x:c r="G9" s="71"/>
      <x:c r="H9" s="65"/>
      <x:c r="I9" s="71"/>
      <x:c r="J9" s="65"/>
      <x:c r="K9" s="53" t="n">
        <x:f>IF(O9&gt;0,C9/O9,"")</x:f>
        <x:v>24</x:v>
      </x:c>
      <x:c r="L9" s="53"/>
      <x:c r="M9" s="77"/>
      <x:c r="N9" s="65"/>
      <x:c r="O9" s="59" t="n">
        <x:v>5</x:v>
      </x:c>
      <x:c r="P9" s="59" t="n">
        <x:f>O9</x:f>
        <x:v>5</x:v>
      </x:c>
      <x:c r="Q9" s="44" t="str">
        <x:v>Manual outreach to handmade creators. CPO here means cost per new seller shop.</x:v>
      </x:c>
      <x:c r="R9" s="77"/>
      <x:c r="S9" s="71"/>
      <x:c r="T9" s="44" t="str">
        <x:v>Medium — based on direct seller outreach capacity</x:v>
      </x:c>
    </x:row>
    <x:row r="10">
      <x:c r="A10" s="41" t="str">
        <x:v>May</x:v>
      </x:c>
      <x:c r="B10" s="41" t="str">
        <x:v>Blended Demand</x:v>
      </x:c>
      <x:c r="C10" s="48" t="n">
        <x:f>SUM(C6:C8)</x:f>
        <x:v>140</x:v>
      </x:c>
      <x:c r="D10" s="60" t="n">
        <x:f>SUM(D6:D7)</x:f>
        <x:v>400</x:v>
      </x:c>
      <x:c r="E10" s="72"/>
      <x:c r="F10" s="66" t="n">
        <x:f>SUM(F6:F8)</x:f>
        <x:v>48</x:v>
      </x:c>
      <x:c r="G10" s="72"/>
      <x:c r="H10" s="66" t="n">
        <x:f>SUM(H6:H8)</x:f>
        <x:v>10.559999999999999</x:v>
      </x:c>
      <x:c r="I10" s="72"/>
      <x:c r="J10" s="66" t="n">
        <x:f>SUM(J6:J8)</x:f>
        <x:v>3.6959999999999997</x:v>
      </x:c>
      <x:c r="K10" s="54" t="n">
        <x:f>IF(J10&gt;0,C10/J10,"")</x:f>
        <x:v>37.87878787878788</x:v>
      </x:c>
      <x:c r="L10" s="54" t="n">
        <x:v>12.24</x:v>
      </x:c>
      <x:c r="M10" s="78" t="n">
        <x:f>IF(K10&gt;0,L10/K10,"")</x:f>
        <x:v>0.323136</x:v>
      </x:c>
      <x:c r="N10" s="66" t="n">
        <x:f>J10</x:f>
        <x:v>3.6959999999999997</x:v>
      </x:c>
      <x:c r="O10" s="60"/>
      <x:c r="P10" s="60"/>
      <x:c r="Q10" s="41" t="str">
        <x:v>Monthly demand-side subtotal. Buyer CAC excludes seller-onboarding spend.</x:v>
      </x:c>
      <x:c r="R10" s="78"/>
      <x:c r="S10" s="72"/>
      <x:c r="T10" s="41" t="str">
        <x:v>Formula row</x:v>
      </x:c>
    </x:row>
    <x:row r="11">
      <x:c r="A11" s="36" t="str">
        <x:v>Jun</x:v>
      </x:c>
      <x:c r="B11" s="36" t="str">
        <x:v>Organic Social + Community</x:v>
      </x:c>
      <x:c r="C11" s="46" t="n">
        <x:v>90</x:v>
      </x:c>
      <x:c r="D11" s="58" t="n">
        <x:v>325</x:v>
      </x:c>
      <x:c r="E11" s="70" t="n">
        <x:v>0.13</x:v>
      </x:c>
      <x:c r="F11" s="64" t="n">
        <x:f>D11*E11</x:f>
        <x:v>42.25</x:v>
      </x:c>
      <x:c r="G11" s="70" t="n">
        <x:v>0.24</x:v>
      </x:c>
      <x:c r="H11" s="64" t="n">
        <x:f>F11*G11</x:f>
        <x:v>10.139999999999999</x:v>
      </x:c>
      <x:c r="I11" s="70" t="n">
        <x:v>0.37</x:v>
      </x:c>
      <x:c r="J11" s="64" t="n">
        <x:f>H11*I11</x:f>
        <x:v>3.7517999999999994</x:v>
      </x:c>
      <x:c r="K11" s="52" t="n">
        <x:f>IF(J11&gt;0,C11/J11,"")</x:f>
        <x:v>23.98848552694707</x:v>
      </x:c>
      <x:c r="L11" s="52" t="n">
        <x:v>12.24</x:v>
      </x:c>
      <x:c r="M11" s="76" t="n">
        <x:f>IF(K11&gt;0,L11/K11,"")</x:f>
        <x:v>0.5102447999999999</x:v>
      </x:c>
      <x:c r="N11" s="64"/>
      <x:c r="O11" s="58"/>
      <x:c r="P11" s="58"/>
      <x:c r="Q11" s="36" t="str">
        <x:v>Instagram/TikTok content, campus/community reposts, creator stories.</x:v>
      </x:c>
      <x:c r="R11" s="76"/>
      <x:c r="S11" s="70"/>
      <x:c r="T11" s="36" t="str">
        <x:v>Medium — proxy from landing page/social traffic</x:v>
      </x:c>
    </x:row>
    <x:row r="12">
      <x:c r="A12" s="36" t="str">
        <x:v>Jun</x:v>
      </x:c>
      <x:c r="B12" s="36" t="str">
        <x:v>Micro-Creator Partnerships</x:v>
      </x:c>
      <x:c r="C12" s="46" t="n">
        <x:v>120</x:v>
      </x:c>
      <x:c r="D12" s="58" t="n">
        <x:v>175</x:v>
      </x:c>
      <x:c r="E12" s="70" t="n">
        <x:v>0.13</x:v>
      </x:c>
      <x:c r="F12" s="64" t="n">
        <x:f>D12*E12</x:f>
        <x:v>22.75</x:v>
      </x:c>
      <x:c r="G12" s="70" t="n">
        <x:v>0.24</x:v>
      </x:c>
      <x:c r="H12" s="64" t="n">
        <x:f>F12*G12</x:f>
        <x:v>5.46</x:v>
      </x:c>
      <x:c r="I12" s="70" t="n">
        <x:v>0.37</x:v>
      </x:c>
      <x:c r="J12" s="64" t="n">
        <x:f>H12*I12</x:f>
        <x:v>2.0202</x:v>
      </x:c>
      <x:c r="K12" s="52" t="n">
        <x:f>IF(J12&gt;0,C12/J12,"")</x:f>
        <x:v>59.4000594000594</x:v>
      </x:c>
      <x:c r="L12" s="52" t="n">
        <x:v>12.24</x:v>
      </x:c>
      <x:c r="M12" s="76" t="n">
        <x:f>IF(K12&gt;0,L12/K12,"")</x:f>
        <x:v>0.2060604</x:v>
      </x:c>
      <x:c r="N12" s="64"/>
      <x:c r="O12" s="58"/>
      <x:c r="P12" s="58"/>
      <x:c r="Q12" s="36" t="str">
        <x:v>Small creator shoutouts, product roundups, maker story collaborations.</x:v>
      </x:c>
      <x:c r="R12" s="76"/>
      <x:c r="S12" s="70"/>
      <x:c r="T12" s="36" t="str">
        <x:v>Medium — outreach-based estimate</x:v>
      </x:c>
    </x:row>
    <x:row r="13">
      <x:c r="A13" s="36" t="str">
        <x:v>Jun</x:v>
      </x:c>
      <x:c r="B13" s="36" t="str">
        <x:v>Referral / Share Loop</x:v>
      </x:c>
      <x:c r="C13" s="46" t="n">
        <x:v>0</x:v>
      </x:c>
      <x:c r="D13" s="58"/>
      <x:c r="E13" s="70"/>
      <x:c r="F13" s="64" t="n">
        <x:f>N10*R13*S13</x:f>
        <x:v>0.03696</x:v>
      </x:c>
      <x:c r="G13" s="70" t="n">
        <x:v>0.24</x:v>
      </x:c>
      <x:c r="H13" s="64" t="n">
        <x:f>F13*G13</x:f>
        <x:v>0.008870399999999999</x:v>
      </x:c>
      <x:c r="I13" s="70" t="n">
        <x:v>0.37</x:v>
      </x:c>
      <x:c r="J13" s="64" t="n">
        <x:f>H13*I13</x:f>
        <x:v>0.0032820479999999996</x:v>
      </x:c>
      <x:c r="K13" s="52" t="n">
        <x:f>IF(J13&gt;0,C13/J13,0)</x:f>
        <x:v>0</x:v>
      </x:c>
      <x:c r="L13" s="52" t="n">
        <x:v>12.24</x:v>
      </x:c>
      <x:c r="M13" s="76" t="str">
        <x:f>IF(K13=0,"Free",L13/K13)</x:f>
        <x:v>Free</x:v>
      </x:c>
      <x:c r="N13" s="64"/>
      <x:c r="O13" s="58"/>
      <x:c r="P13" s="58"/>
      <x:c r="Q13" s="36" t="str">
        <x:v>Existing buyers share products/shops with friends. Referral starts after shareable pages ship.</x:v>
      </x:c>
      <x:c r="R13" s="76" t="n">
        <x:v>0.1</x:v>
      </x:c>
      <x:c r="S13" s="70" t="n">
        <x:v>0.1</x:v>
      </x:c>
      <x:c r="T13" s="36" t="str">
        <x:v>Low — not yet measured</x:v>
      </x:c>
    </x:row>
    <x:row r="14">
      <x:c r="A14" s="44" t="str">
        <x:v>Jun</x:v>
      </x:c>
      <x:c r="B14" s="44" t="str">
        <x:v>Seller Onboarding (Supply)</x:v>
      </x:c>
      <x:c r="C14" s="47" t="n">
        <x:v>140</x:v>
      </x:c>
      <x:c r="D14" s="59"/>
      <x:c r="E14" s="71"/>
      <x:c r="F14" s="65"/>
      <x:c r="G14" s="71"/>
      <x:c r="H14" s="65"/>
      <x:c r="I14" s="71"/>
      <x:c r="J14" s="65"/>
      <x:c r="K14" s="53" t="n">
        <x:f>IF(O14&gt;0,C14/O14,"")</x:f>
        <x:v>20</x:v>
      </x:c>
      <x:c r="L14" s="53"/>
      <x:c r="M14" s="77"/>
      <x:c r="N14" s="65"/>
      <x:c r="O14" s="59" t="n">
        <x:v>7</x:v>
      </x:c>
      <x:c r="P14" s="59" t="n">
        <x:f>P9+O14</x:f>
        <x:v>12</x:v>
      </x:c>
      <x:c r="Q14" s="44" t="str">
        <x:v>Manual outreach to handmade creators. CPO here means cost per new seller shop.</x:v>
      </x:c>
      <x:c r="R14" s="77"/>
      <x:c r="S14" s="71"/>
      <x:c r="T14" s="44" t="str">
        <x:v>Medium — based on direct seller outreach capacity</x:v>
      </x:c>
    </x:row>
    <x:row r="15">
      <x:c r="A15" s="41" t="str">
        <x:v>Jun</x:v>
      </x:c>
      <x:c r="B15" s="41" t="str">
        <x:v>Blended Demand</x:v>
      </x:c>
      <x:c r="C15" s="48" t="n">
        <x:f>SUM(C11:C13)</x:f>
        <x:v>210</x:v>
      </x:c>
      <x:c r="D15" s="60" t="n">
        <x:f>SUM(D11:D12)</x:f>
        <x:v>500</x:v>
      </x:c>
      <x:c r="E15" s="72"/>
      <x:c r="F15" s="66" t="n">
        <x:f>SUM(F11:F13)</x:f>
        <x:v>65.03696</x:v>
      </x:c>
      <x:c r="G15" s="72"/>
      <x:c r="H15" s="66" t="n">
        <x:f>SUM(H11:H13)</x:f>
        <x:v>15.608870399999997</x:v>
      </x:c>
      <x:c r="I15" s="72"/>
      <x:c r="J15" s="66" t="n">
        <x:f>SUM(J11:J13)</x:f>
        <x:v>5.775282047999999</x:v>
      </x:c>
      <x:c r="K15" s="54" t="n">
        <x:f>IF(J15&gt;0,C15/J15,"")</x:f>
        <x:v>36.36186046926033</x:v>
      </x:c>
      <x:c r="L15" s="54" t="n">
        <x:v>12.24</x:v>
      </x:c>
      <x:c r="M15" s="78" t="n">
        <x:f>IF(K15&gt;0,L15/K15,"")</x:f>
        <x:v>0.3366164393691428</x:v>
      </x:c>
      <x:c r="N15" s="66" t="n">
        <x:f>N10+J15</x:f>
        <x:v>9.471282047999999</x:v>
      </x:c>
      <x:c r="O15" s="60"/>
      <x:c r="P15" s="60"/>
      <x:c r="Q15" s="41" t="str">
        <x:v>Monthly demand-side subtotal. Buyer CAC excludes seller-onboarding spend.</x:v>
      </x:c>
      <x:c r="R15" s="78"/>
      <x:c r="S15" s="72"/>
      <x:c r="T15" s="41" t="str">
        <x:v>Formula row</x:v>
      </x:c>
    </x:row>
    <x:row r="16">
      <x:c r="A16" s="36" t="str">
        <x:v>Jul</x:v>
      </x:c>
      <x:c r="B16" s="36" t="str">
        <x:v>Organic Social + Community</x:v>
      </x:c>
      <x:c r="C16" s="46" t="n">
        <x:v>120</x:v>
      </x:c>
      <x:c r="D16" s="58" t="n">
        <x:v>375</x:v>
      </x:c>
      <x:c r="E16" s="70" t="n">
        <x:v>0.14</x:v>
      </x:c>
      <x:c r="F16" s="64" t="n">
        <x:f>D16*E16</x:f>
        <x:v>52.50000000000001</x:v>
      </x:c>
      <x:c r="G16" s="70" t="n">
        <x:v>0.26</x:v>
      </x:c>
      <x:c r="H16" s="64" t="n">
        <x:f>F16*G16</x:f>
        <x:v>13.650000000000002</x:v>
      </x:c>
      <x:c r="I16" s="70" t="n">
        <x:v>0.39</x:v>
      </x:c>
      <x:c r="J16" s="64" t="n">
        <x:f>H16*I16</x:f>
        <x:v>5.323500000000001</x:v>
      </x:c>
      <x:c r="K16" s="52" t="n">
        <x:f>IF(J16&gt;0,C16/J16,"")</x:f>
        <x:v>22.54156100309946</x:v>
      </x:c>
      <x:c r="L16" s="52" t="n">
        <x:v>12.24</x:v>
      </x:c>
      <x:c r="M16" s="76" t="n">
        <x:f>IF(K16&gt;0,L16/K16,"")</x:f>
        <x:v>0.5429970000000002</x:v>
      </x:c>
      <x:c r="N16" s="64"/>
      <x:c r="O16" s="58"/>
      <x:c r="P16" s="58"/>
      <x:c r="Q16" s="36" t="str">
        <x:v>Instagram/TikTok content, campus/community reposts, creator stories.</x:v>
      </x:c>
      <x:c r="R16" s="76"/>
      <x:c r="S16" s="70"/>
      <x:c r="T16" s="36" t="str">
        <x:v>Medium — proxy from landing page/social traffic</x:v>
      </x:c>
    </x:row>
    <x:row r="17">
      <x:c r="A17" s="36" t="str">
        <x:v>Jul</x:v>
      </x:c>
      <x:c r="B17" s="36" t="str">
        <x:v>Micro-Creator Partnerships</x:v>
      </x:c>
      <x:c r="C17" s="46" t="n">
        <x:v>180</x:v>
      </x:c>
      <x:c r="D17" s="58" t="n">
        <x:v>225</x:v>
      </x:c>
      <x:c r="E17" s="70" t="n">
        <x:v>0.14</x:v>
      </x:c>
      <x:c r="F17" s="64" t="n">
        <x:f>D17*E17</x:f>
        <x:v>31.500000000000004</x:v>
      </x:c>
      <x:c r="G17" s="70" t="n">
        <x:v>0.26</x:v>
      </x:c>
      <x:c r="H17" s="64" t="n">
        <x:f>F17*G17</x:f>
        <x:v>8.190000000000001</x:v>
      </x:c>
      <x:c r="I17" s="70" t="n">
        <x:v>0.39</x:v>
      </x:c>
      <x:c r="J17" s="64" t="n">
        <x:f>H17*I17</x:f>
        <x:v>3.1941000000000006</x:v>
      </x:c>
      <x:c r="K17" s="52" t="n">
        <x:f>IF(J17&gt;0,C17/J17,"")</x:f>
        <x:v>56.35390250774865</x:v>
      </x:c>
      <x:c r="L17" s="52" t="n">
        <x:v>12.24</x:v>
      </x:c>
      <x:c r="M17" s="76" t="n">
        <x:f>IF(K17&gt;0,L17/K17,"")</x:f>
        <x:v>0.21719880000000005</x:v>
      </x:c>
      <x:c r="N17" s="64"/>
      <x:c r="O17" s="58"/>
      <x:c r="P17" s="58"/>
      <x:c r="Q17" s="36" t="str">
        <x:v>Small creator shoutouts, product roundups, maker story collaborations.</x:v>
      </x:c>
      <x:c r="R17" s="76"/>
      <x:c r="S17" s="70"/>
      <x:c r="T17" s="36" t="str">
        <x:v>Medium — outreach-based estimate</x:v>
      </x:c>
    </x:row>
    <x:row r="18">
      <x:c r="A18" s="36" t="str">
        <x:v>Jul</x:v>
      </x:c>
      <x:c r="B18" s="36" t="str">
        <x:v>Referral / Share Loop</x:v>
      </x:c>
      <x:c r="C18" s="46" t="n">
        <x:v>0</x:v>
      </x:c>
      <x:c r="D18" s="58"/>
      <x:c r="E18" s="70"/>
      <x:c r="F18" s="64" t="n">
        <x:f>N15*R18*S18</x:f>
        <x:v>0.12502092303359996</x:v>
      </x:c>
      <x:c r="G18" s="70" t="n">
        <x:v>0.26</x:v>
      </x:c>
      <x:c r="H18" s="64" t="n">
        <x:f>F18*G18</x:f>
        <x:v>0.03250543998873599</x:v>
      </x:c>
      <x:c r="I18" s="70" t="n">
        <x:v>0.39</x:v>
      </x:c>
      <x:c r="J18" s="64" t="n">
        <x:f>H18*I18</x:f>
        <x:v>0.012677121595607037</x:v>
      </x:c>
      <x:c r="K18" s="52" t="n">
        <x:f>IF(J18&gt;0,C18/J18,0)</x:f>
        <x:v>0</x:v>
      </x:c>
      <x:c r="L18" s="52" t="n">
        <x:v>12.24</x:v>
      </x:c>
      <x:c r="M18" s="76" t="str">
        <x:f>IF(K18=0,"Free",L18/K18)</x:f>
        <x:v>Free</x:v>
      </x:c>
      <x:c r="N18" s="64"/>
      <x:c r="O18" s="58"/>
      <x:c r="P18" s="58"/>
      <x:c r="Q18" s="36" t="str">
        <x:v>Existing buyers share products/shops with friends. Referral starts after shareable pages ship.</x:v>
      </x:c>
      <x:c r="R18" s="76" t="n">
        <x:v>0.12</x:v>
      </x:c>
      <x:c r="S18" s="70" t="n">
        <x:v>0.11</x:v>
      </x:c>
      <x:c r="T18" s="36" t="str">
        <x:v>Low — not yet measured</x:v>
      </x:c>
    </x:row>
    <x:row r="19">
      <x:c r="A19" s="44" t="str">
        <x:v>Jul</x:v>
      </x:c>
      <x:c r="B19" s="44" t="str">
        <x:v>Seller Onboarding (Supply)</x:v>
      </x:c>
      <x:c r="C19" s="47" t="n">
        <x:v>160</x:v>
      </x:c>
      <x:c r="D19" s="59"/>
      <x:c r="E19" s="71"/>
      <x:c r="F19" s="65"/>
      <x:c r="G19" s="71"/>
      <x:c r="H19" s="65"/>
      <x:c r="I19" s="71"/>
      <x:c r="J19" s="65"/>
      <x:c r="K19" s="53" t="n">
        <x:f>IF(O19&gt;0,C19/O19,"")</x:f>
        <x:v>17.77777777777778</x:v>
      </x:c>
      <x:c r="L19" s="53"/>
      <x:c r="M19" s="77"/>
      <x:c r="N19" s="65"/>
      <x:c r="O19" s="59" t="n">
        <x:v>9</x:v>
      </x:c>
      <x:c r="P19" s="59" t="n">
        <x:f>P14+O19</x:f>
        <x:v>21</x:v>
      </x:c>
      <x:c r="Q19" s="44" t="str">
        <x:v>Manual outreach to handmade creators. CPO here means cost per new seller shop.</x:v>
      </x:c>
      <x:c r="R19" s="77"/>
      <x:c r="S19" s="71"/>
      <x:c r="T19" s="44" t="str">
        <x:v>Medium — based on direct seller outreach capacity</x:v>
      </x:c>
    </x:row>
    <x:row r="20">
      <x:c r="A20" s="41" t="str">
        <x:v>Jul</x:v>
      </x:c>
      <x:c r="B20" s="41" t="str">
        <x:v>Blended Demand</x:v>
      </x:c>
      <x:c r="C20" s="48" t="n">
        <x:f>SUM(C16:C18)</x:f>
        <x:v>300</x:v>
      </x:c>
      <x:c r="D20" s="60" t="n">
        <x:f>SUM(D16:D17)</x:f>
        <x:v>600</x:v>
      </x:c>
      <x:c r="E20" s="72"/>
      <x:c r="F20" s="66" t="n">
        <x:f>SUM(F16:F18)</x:f>
        <x:v>84.12502092303362</x:v>
      </x:c>
      <x:c r="G20" s="72"/>
      <x:c r="H20" s="66" t="n">
        <x:f>SUM(H16:H18)</x:f>
        <x:v>21.87250543998874</x:v>
      </x:c>
      <x:c r="I20" s="72"/>
      <x:c r="J20" s="66" t="n">
        <x:f>SUM(J16:J18)</x:f>
        <x:v>8.530277121595608</x:v>
      </x:c>
      <x:c r="K20" s="54" t="n">
        <x:f>IF(J20&gt;0,C20/J20,"")</x:f>
        <x:v>35.16884571551695</x:v>
      </x:c>
      <x:c r="L20" s="54" t="n">
        <x:v>12.24</x:v>
      </x:c>
      <x:c r="M20" s="78" t="n">
        <x:f>IF(K20&gt;0,L20/K20,"")</x:f>
        <x:v>0.3480353065611008</x:v>
      </x:c>
      <x:c r="N20" s="66" t="n">
        <x:f>N15+J20</x:f>
        <x:v>18.00155916959561</x:v>
      </x:c>
      <x:c r="O20" s="60"/>
      <x:c r="P20" s="60"/>
      <x:c r="Q20" s="41" t="str">
        <x:v>Monthly demand-side subtotal. Buyer CAC excludes seller-onboarding spend.</x:v>
      </x:c>
      <x:c r="R20" s="78"/>
      <x:c r="S20" s="72"/>
      <x:c r="T20" s="41" t="str">
        <x:v>Formula row</x:v>
      </x:c>
    </x:row>
    <x:row r="21">
      <x:c r="A21" s="36" t="str">
        <x:v>Aug</x:v>
      </x:c>
      <x:c r="B21" s="36" t="str">
        <x:v>Organic Social + Community</x:v>
      </x:c>
      <x:c r="C21" s="46" t="n">
        <x:v>150</x:v>
      </x:c>
      <x:c r="D21" s="58" t="n">
        <x:v>425</x:v>
      </x:c>
      <x:c r="E21" s="70" t="n">
        <x:v>0.15</x:v>
      </x:c>
      <x:c r="F21" s="64" t="n">
        <x:f>D21*E21</x:f>
        <x:v>63.75</x:v>
      </x:c>
      <x:c r="G21" s="70" t="n">
        <x:v>0.28</x:v>
      </x:c>
      <x:c r="H21" s="64" t="n">
        <x:f>F21*G21</x:f>
        <x:v>17.85</x:v>
      </x:c>
      <x:c r="I21" s="70" t="n">
        <x:v>0.41</x:v>
      </x:c>
      <x:c r="J21" s="64" t="n">
        <x:f>H21*I21</x:f>
        <x:v>7.3185</x:v>
      </x:c>
      <x:c r="K21" s="52" t="n">
        <x:f>IF(J21&gt;0,C21/J21,"")</x:f>
        <x:v>20.496003279360526</x:v>
      </x:c>
      <x:c r="L21" s="52" t="n">
        <x:v>12.24</x:v>
      </x:c>
      <x:c r="M21" s="76" t="n">
        <x:f>IF(K21&gt;0,L21/K21,"")</x:f>
        <x:v>0.5971896</x:v>
      </x:c>
      <x:c r="N21" s="64"/>
      <x:c r="O21" s="58"/>
      <x:c r="P21" s="58"/>
      <x:c r="Q21" s="36" t="str">
        <x:v>Instagram/TikTok content, campus/community reposts, creator stories.</x:v>
      </x:c>
      <x:c r="R21" s="76"/>
      <x:c r="S21" s="70"/>
      <x:c r="T21" s="36" t="str">
        <x:v>Medium — proxy from landing page/social traffic</x:v>
      </x:c>
    </x:row>
    <x:row r="22">
      <x:c r="A22" s="36" t="str">
        <x:v>Aug</x:v>
      </x:c>
      <x:c r="B22" s="36" t="str">
        <x:v>Micro-Creator Partnerships</x:v>
      </x:c>
      <x:c r="C22" s="46" t="n">
        <x:v>240</x:v>
      </x:c>
      <x:c r="D22" s="58" t="n">
        <x:v>275</x:v>
      </x:c>
      <x:c r="E22" s="70" t="n">
        <x:v>0.15</x:v>
      </x:c>
      <x:c r="F22" s="64" t="n">
        <x:f>D22*E22</x:f>
        <x:v>41.25</x:v>
      </x:c>
      <x:c r="G22" s="70" t="n">
        <x:v>0.28</x:v>
      </x:c>
      <x:c r="H22" s="64" t="n">
        <x:f>F22*G22</x:f>
        <x:v>11.55</x:v>
      </x:c>
      <x:c r="I22" s="70" t="n">
        <x:v>0.41</x:v>
      </x:c>
      <x:c r="J22" s="64" t="n">
        <x:f>H22*I22</x:f>
        <x:v>4.7355</x:v>
      </x:c>
      <x:c r="K22" s="52" t="n">
        <x:f>IF(J22&gt;0,C22/J22,"")</x:f>
        <x:v>50.68102629078239</x:v>
      </x:c>
      <x:c r="L22" s="52" t="n">
        <x:v>12.24</x:v>
      </x:c>
      <x:c r="M22" s="76" t="n">
        <x:f>IF(K22&gt;0,L22/K22,"")</x:f>
        <x:v>0.2415105</x:v>
      </x:c>
      <x:c r="N22" s="64"/>
      <x:c r="O22" s="58"/>
      <x:c r="P22" s="58"/>
      <x:c r="Q22" s="36" t="str">
        <x:v>Small creator shoutouts, product roundups, maker story collaborations.</x:v>
      </x:c>
      <x:c r="R22" s="76"/>
      <x:c r="S22" s="70"/>
      <x:c r="T22" s="36" t="str">
        <x:v>Medium — outreach-based estimate</x:v>
      </x:c>
    </x:row>
    <x:row r="23">
      <x:c r="A23" s="36" t="str">
        <x:v>Aug</x:v>
      </x:c>
      <x:c r="B23" s="36" t="str">
        <x:v>Referral / Share Loop</x:v>
      </x:c>
      <x:c r="C23" s="46" t="n">
        <x:v>0</x:v>
      </x:c>
      <x:c r="D23" s="58"/>
      <x:c r="E23" s="70"/>
      <x:c r="F23" s="64" t="n">
        <x:f>N20*R23*S23</x:f>
        <x:v>0.30242619404920623</x:v>
      </x:c>
      <x:c r="G23" s="70" t="n">
        <x:v>0.28</x:v>
      </x:c>
      <x:c r="H23" s="64" t="n">
        <x:f>F23*G23</x:f>
        <x:v>0.08467933433377775</x:v>
      </x:c>
      <x:c r="I23" s="70" t="n">
        <x:v>0.41</x:v>
      </x:c>
      <x:c r="J23" s="64" t="n">
        <x:f>H23*I23</x:f>
        <x:v>0.034718527076848874</x:v>
      </x:c>
      <x:c r="K23" s="52" t="n">
        <x:f>IF(J23&gt;0,C23/J23,0)</x:f>
        <x:v>0</x:v>
      </x:c>
      <x:c r="L23" s="52" t="n">
        <x:v>12.24</x:v>
      </x:c>
      <x:c r="M23" s="76" t="str">
        <x:f>IF(K23=0,"Free",L23/K23)</x:f>
        <x:v>Free</x:v>
      </x:c>
      <x:c r="N23" s="64"/>
      <x:c r="O23" s="58"/>
      <x:c r="P23" s="58"/>
      <x:c r="Q23" s="36" t="str">
        <x:v>Existing buyers share products/shops with friends. Referral starts after shareable pages ship.</x:v>
      </x:c>
      <x:c r="R23" s="76" t="n">
        <x:v>0.14</x:v>
      </x:c>
      <x:c r="S23" s="70" t="n">
        <x:v>0.12</x:v>
      </x:c>
      <x:c r="T23" s="36" t="str">
        <x:v>Low — not yet measured</x:v>
      </x:c>
    </x:row>
    <x:row r="24">
      <x:c r="A24" s="44" t="str">
        <x:v>Aug</x:v>
      </x:c>
      <x:c r="B24" s="44" t="str">
        <x:v>Seller Onboarding (Supply)</x:v>
      </x:c>
      <x:c r="C24" s="47" t="n">
        <x:v>160</x:v>
      </x:c>
      <x:c r="D24" s="59"/>
      <x:c r="E24" s="71"/>
      <x:c r="F24" s="65"/>
      <x:c r="G24" s="71"/>
      <x:c r="H24" s="65"/>
      <x:c r="I24" s="71"/>
      <x:c r="J24" s="65"/>
      <x:c r="K24" s="53" t="n">
        <x:f>IF(O24&gt;0,C24/O24,"")</x:f>
        <x:v>16</x:v>
      </x:c>
      <x:c r="L24" s="53"/>
      <x:c r="M24" s="77"/>
      <x:c r="N24" s="65"/>
      <x:c r="O24" s="59" t="n">
        <x:v>10</x:v>
      </x:c>
      <x:c r="P24" s="59" t="n">
        <x:f>P19+O24</x:f>
        <x:v>31</x:v>
      </x:c>
      <x:c r="Q24" s="44" t="str">
        <x:v>Manual outreach to handmade creators. CPO here means cost per new seller shop.</x:v>
      </x:c>
      <x:c r="R24" s="77"/>
      <x:c r="S24" s="71"/>
      <x:c r="T24" s="44" t="str">
        <x:v>Medium — based on direct seller outreach capacity</x:v>
      </x:c>
    </x:row>
    <x:row r="25">
      <x:c r="A25" s="41" t="str">
        <x:v>Aug</x:v>
      </x:c>
      <x:c r="B25" s="41" t="str">
        <x:v>Blended Demand</x:v>
      </x:c>
      <x:c r="C25" s="48" t="n">
        <x:f>SUM(C21:C23)</x:f>
        <x:v>390</x:v>
      </x:c>
      <x:c r="D25" s="60" t="n">
        <x:f>SUM(D21:D22)</x:f>
        <x:v>700</x:v>
      </x:c>
      <x:c r="E25" s="72"/>
      <x:c r="F25" s="66" t="n">
        <x:f>SUM(F21:F23)</x:f>
        <x:v>105.3024261940492</x:v>
      </x:c>
      <x:c r="G25" s="72"/>
      <x:c r="H25" s="66" t="n">
        <x:f>SUM(H21:H23)</x:f>
        <x:v>29.48467933433378</x:v>
      </x:c>
      <x:c r="I25" s="72"/>
      <x:c r="J25" s="66" t="n">
        <x:f>SUM(J21:J23)</x:f>
        <x:v>12.08871852707685</x:v>
      </x:c>
      <x:c r="K25" s="54" t="n">
        <x:f>IF(J25&gt;0,C25/J25,"")</x:f>
        <x:v>32.261484054448005</x:v>
      </x:c>
      <x:c r="L25" s="54" t="n">
        <x:v>12.24</x:v>
      </x:c>
      <x:c r="M25" s="78" t="n">
        <x:f>IF(K25&gt;0,L25/K25,"")</x:f>
        <x:v>0.37939978146518116</x:v>
      </x:c>
      <x:c r="N25" s="66" t="n">
        <x:f>N20+J25</x:f>
        <x:v>30.09027769667246</x:v>
      </x:c>
      <x:c r="O25" s="60"/>
      <x:c r="P25" s="60"/>
      <x:c r="Q25" s="41" t="str">
        <x:v>Monthly demand-side subtotal. Buyer CAC excludes seller-onboarding spend.</x:v>
      </x:c>
      <x:c r="R25" s="78"/>
      <x:c r="S25" s="72"/>
      <x:c r="T25" s="41" t="str">
        <x:v>Formula row</x:v>
      </x:c>
    </x:row>
    <x:row r="26">
      <x:c r="A26" s="36" t="str">
        <x:v>Sep</x:v>
      </x:c>
      <x:c r="B26" s="36" t="str">
        <x:v>Organic Social + Community</x:v>
      </x:c>
      <x:c r="C26" s="46" t="n">
        <x:v>180</x:v>
      </x:c>
      <x:c r="D26" s="58" t="n">
        <x:v>475</x:v>
      </x:c>
      <x:c r="E26" s="70" t="n">
        <x:v>0.16</x:v>
      </x:c>
      <x:c r="F26" s="64" t="n">
        <x:f>D26*E26</x:f>
        <x:v>76</x:v>
      </x:c>
      <x:c r="G26" s="70" t="n">
        <x:v>0.3</x:v>
      </x:c>
      <x:c r="H26" s="64" t="n">
        <x:f>F26*G26</x:f>
        <x:v>22.8</x:v>
      </x:c>
      <x:c r="I26" s="70" t="n">
        <x:v>0.43</x:v>
      </x:c>
      <x:c r="J26" s="64" t="n">
        <x:f>H26*I26</x:f>
        <x:v>9.804</x:v>
      </x:c>
      <x:c r="K26" s="52" t="n">
        <x:f>IF(J26&gt;0,C26/J26,"")</x:f>
        <x:v>18.35985312117503</x:v>
      </x:c>
      <x:c r="L26" s="52" t="n">
        <x:v>12.24</x:v>
      </x:c>
      <x:c r="M26" s="76" t="n">
        <x:f>IF(K26&gt;0,L26/K26,"")</x:f>
        <x:v>0.666672</x:v>
      </x:c>
      <x:c r="N26" s="64"/>
      <x:c r="O26" s="58"/>
      <x:c r="P26" s="58"/>
      <x:c r="Q26" s="36" t="str">
        <x:v>Instagram/TikTok content, campus/community reposts, creator stories.</x:v>
      </x:c>
      <x:c r="R26" s="76"/>
      <x:c r="S26" s="70"/>
      <x:c r="T26" s="36" t="str">
        <x:v>Medium — proxy from landing page/social traffic</x:v>
      </x:c>
    </x:row>
    <x:row r="27">
      <x:c r="A27" s="36" t="str">
        <x:v>Sep</x:v>
      </x:c>
      <x:c r="B27" s="36" t="str">
        <x:v>Micro-Creator Partnerships</x:v>
      </x:c>
      <x:c r="C27" s="46" t="n">
        <x:v>300</x:v>
      </x:c>
      <x:c r="D27" s="58" t="n">
        <x:v>325</x:v>
      </x:c>
      <x:c r="E27" s="70" t="n">
        <x:v>0.16</x:v>
      </x:c>
      <x:c r="F27" s="64" t="n">
        <x:f>D27*E27</x:f>
        <x:v>52</x:v>
      </x:c>
      <x:c r="G27" s="70" t="n">
        <x:v>0.3</x:v>
      </x:c>
      <x:c r="H27" s="64" t="n">
        <x:f>F27*G27</x:f>
        <x:v>15.6</x:v>
      </x:c>
      <x:c r="I27" s="70" t="n">
        <x:v>0.43</x:v>
      </x:c>
      <x:c r="J27" s="64" t="n">
        <x:f>H27*I27</x:f>
        <x:v>6.708</x:v>
      </x:c>
      <x:c r="K27" s="52" t="n">
        <x:f>IF(J27&gt;0,C27/J27,"")</x:f>
        <x:v>44.72271914132379</x:v>
      </x:c>
      <x:c r="L27" s="52" t="n">
        <x:v>12.24</x:v>
      </x:c>
      <x:c r="M27" s="76" t="n">
        <x:f>IF(K27&gt;0,L27/K27,"")</x:f>
        <x:v>0.2736864</x:v>
      </x:c>
      <x:c r="N27" s="64"/>
      <x:c r="O27" s="58"/>
      <x:c r="P27" s="58"/>
      <x:c r="Q27" s="36" t="str">
        <x:v>Small creator shoutouts, product roundups, maker story collaborations.</x:v>
      </x:c>
      <x:c r="R27" s="76"/>
      <x:c r="S27" s="70"/>
      <x:c r="T27" s="36" t="str">
        <x:v>Medium — outreach-based estimate</x:v>
      </x:c>
    </x:row>
    <x:row r="28">
      <x:c r="A28" s="36" t="str">
        <x:v>Sep</x:v>
      </x:c>
      <x:c r="B28" s="36" t="str">
        <x:v>Referral / Share Loop</x:v>
      </x:c>
      <x:c r="C28" s="46" t="n">
        <x:v>0</x:v>
      </x:c>
      <x:c r="D28" s="58"/>
      <x:c r="E28" s="70"/>
      <x:c r="F28" s="64" t="n">
        <x:f>N25*R28*S28</x:f>
        <x:v>0.5867604150851129</x:v>
      </x:c>
      <x:c r="G28" s="70" t="n">
        <x:v>0.3</x:v>
      </x:c>
      <x:c r="H28" s="64" t="n">
        <x:f>F28*G28</x:f>
        <x:v>0.17602812452553387</x:v>
      </x:c>
      <x:c r="I28" s="70" t="n">
        <x:v>0.43</x:v>
      </x:c>
      <x:c r="J28" s="64" t="n">
        <x:f>H28*I28</x:f>
        <x:v>0.07569209354597957</x:v>
      </x:c>
      <x:c r="K28" s="52" t="n">
        <x:f>IF(J28&gt;0,C28/J28,0)</x:f>
        <x:v>0</x:v>
      </x:c>
      <x:c r="L28" s="52" t="n">
        <x:v>12.24</x:v>
      </x:c>
      <x:c r="M28" s="76" t="str">
        <x:f>IF(K28=0,"Free",L28/K28)</x:f>
        <x:v>Free</x:v>
      </x:c>
      <x:c r="N28" s="64"/>
      <x:c r="O28" s="58"/>
      <x:c r="P28" s="58"/>
      <x:c r="Q28" s="36" t="str">
        <x:v>Existing buyers share products/shops with friends. Referral starts after shareable pages ship.</x:v>
      </x:c>
      <x:c r="R28" s="76" t="n">
        <x:v>0.15</x:v>
      </x:c>
      <x:c r="S28" s="70" t="n">
        <x:v>0.13</x:v>
      </x:c>
      <x:c r="T28" s="36" t="str">
        <x:v>Low — not yet measured</x:v>
      </x:c>
    </x:row>
    <x:row r="29">
      <x:c r="A29" s="44" t="str">
        <x:v>Sep</x:v>
      </x:c>
      <x:c r="B29" s="44" t="str">
        <x:v>Seller Onboarding (Supply)</x:v>
      </x:c>
      <x:c r="C29" s="47" t="n">
        <x:v>180</x:v>
      </x:c>
      <x:c r="D29" s="59"/>
      <x:c r="E29" s="71"/>
      <x:c r="F29" s="65"/>
      <x:c r="G29" s="71"/>
      <x:c r="H29" s="65"/>
      <x:c r="I29" s="71"/>
      <x:c r="J29" s="65"/>
      <x:c r="K29" s="53" t="n">
        <x:f>IF(O29&gt;0,C29/O29,"")</x:f>
        <x:v>15</x:v>
      </x:c>
      <x:c r="L29" s="53"/>
      <x:c r="M29" s="77"/>
      <x:c r="N29" s="65"/>
      <x:c r="O29" s="59" t="n">
        <x:v>12</x:v>
      </x:c>
      <x:c r="P29" s="59" t="n">
        <x:f>P24+O29</x:f>
        <x:v>43</x:v>
      </x:c>
      <x:c r="Q29" s="44" t="str">
        <x:v>Manual outreach to handmade creators. CPO here means cost per new seller shop.</x:v>
      </x:c>
      <x:c r="R29" s="77"/>
      <x:c r="S29" s="71"/>
      <x:c r="T29" s="44" t="str">
        <x:v>Medium — based on direct seller outreach capacity</x:v>
      </x:c>
    </x:row>
    <x:row r="30">
      <x:c r="A30" s="41" t="str">
        <x:v>Sep</x:v>
      </x:c>
      <x:c r="B30" s="41" t="str">
        <x:v>Blended Demand</x:v>
      </x:c>
      <x:c r="C30" s="48" t="n">
        <x:f>SUM(C26:C28)</x:f>
        <x:v>480</x:v>
      </x:c>
      <x:c r="D30" s="60" t="n">
        <x:f>SUM(D26:D27)</x:f>
        <x:v>800</x:v>
      </x:c>
      <x:c r="E30" s="72"/>
      <x:c r="F30" s="66" t="n">
        <x:f>SUM(F26:F28)</x:f>
        <x:v>128.5867604150851</x:v>
      </x:c>
      <x:c r="G30" s="72"/>
      <x:c r="H30" s="66" t="n">
        <x:f>SUM(H26:H28)</x:f>
        <x:v>38.576028124525536</x:v>
      </x:c>
      <x:c r="I30" s="72"/>
      <x:c r="J30" s="66" t="n">
        <x:f>SUM(J26:J28)</x:f>
        <x:v>16.58769209354598</x:v>
      </x:c>
      <x:c r="K30" s="54" t="n">
        <x:f>IF(J30&gt;0,C30/J30,"")</x:f>
        <x:v>28.937117791495584</x:v>
      </x:c>
      <x:c r="L30" s="54" t="n">
        <x:v>12.24</x:v>
      </x:c>
      <x:c r="M30" s="78" t="n">
        <x:f>IF(K30&gt;0,L30/K30,"")</x:f>
        <x:v>0.4229861483854225</x:v>
      </x:c>
      <x:c r="N30" s="66" t="n">
        <x:f>N25+J30</x:f>
        <x:v>46.67796979021844</x:v>
      </x:c>
      <x:c r="O30" s="60"/>
      <x:c r="P30" s="60"/>
      <x:c r="Q30" s="41" t="str">
        <x:v>Monthly demand-side subtotal. Buyer CAC excludes seller-onboarding spend.</x:v>
      </x:c>
      <x:c r="R30" s="78"/>
      <x:c r="S30" s="72"/>
      <x:c r="T30" s="41" t="str">
        <x:v>Formula row</x:v>
      </x:c>
    </x:row>
    <x:row r="31">
      <x:c r="A31" s="36" t="str">
        <x:v>Oct</x:v>
      </x:c>
      <x:c r="B31" s="36" t="str">
        <x:v>Organic Social + Community</x:v>
      </x:c>
      <x:c r="C31" s="46" t="n">
        <x:v>210</x:v>
      </x:c>
      <x:c r="D31" s="58" t="n">
        <x:v>525</x:v>
      </x:c>
      <x:c r="E31" s="70" t="n">
        <x:v>0.17</x:v>
      </x:c>
      <x:c r="F31" s="64" t="n">
        <x:f>D31*E31</x:f>
        <x:v>89.25</x:v>
      </x:c>
      <x:c r="G31" s="70" t="n">
        <x:v>0.32</x:v>
      </x:c>
      <x:c r="H31" s="64" t="n">
        <x:f>F31*G31</x:f>
        <x:v>28.560000000000002</x:v>
      </x:c>
      <x:c r="I31" s="70" t="n">
        <x:v>0.45</x:v>
      </x:c>
      <x:c r="J31" s="64" t="n">
        <x:f>H31*I31</x:f>
        <x:v>12.852000000000002</x:v>
      </x:c>
      <x:c r="K31" s="52" t="n">
        <x:f>IF(J31&gt;0,C31/J31,"")</x:f>
        <x:v>16.33986928104575</x:v>
      </x:c>
      <x:c r="L31" s="52" t="n">
        <x:v>12.24</x:v>
      </x:c>
      <x:c r="M31" s="76" t="n">
        <x:f>IF(K31&gt;0,L31/K31,"")</x:f>
        <x:v>0.7490880000000001</x:v>
      </x:c>
      <x:c r="N31" s="64"/>
      <x:c r="O31" s="58"/>
      <x:c r="P31" s="58"/>
      <x:c r="Q31" s="36" t="str">
        <x:v>Instagram/TikTok content, campus/community reposts, creator stories.</x:v>
      </x:c>
      <x:c r="R31" s="76"/>
      <x:c r="S31" s="70"/>
      <x:c r="T31" s="36" t="str">
        <x:v>Medium — proxy from landing page/social traffic</x:v>
      </x:c>
    </x:row>
    <x:row r="32">
      <x:c r="A32" s="36" t="str">
        <x:v>Oct</x:v>
      </x:c>
      <x:c r="B32" s="36" t="str">
        <x:v>Micro-Creator Partnerships</x:v>
      </x:c>
      <x:c r="C32" s="46" t="n">
        <x:v>360</x:v>
      </x:c>
      <x:c r="D32" s="58" t="n">
        <x:v>375</x:v>
      </x:c>
      <x:c r="E32" s="70" t="n">
        <x:v>0.17</x:v>
      </x:c>
      <x:c r="F32" s="64" t="n">
        <x:f>D32*E32</x:f>
        <x:v>63.75000000000001</x:v>
      </x:c>
      <x:c r="G32" s="70" t="n">
        <x:v>0.32</x:v>
      </x:c>
      <x:c r="H32" s="64" t="n">
        <x:f>F32*G32</x:f>
        <x:v>20.400000000000002</x:v>
      </x:c>
      <x:c r="I32" s="70" t="n">
        <x:v>0.45</x:v>
      </x:c>
      <x:c r="J32" s="64" t="n">
        <x:f>H32*I32</x:f>
        <x:v>9.180000000000001</x:v>
      </x:c>
      <x:c r="K32" s="52" t="n">
        <x:f>IF(J32&gt;0,C32/J32,"")</x:f>
        <x:v>39.2156862745098</x:v>
      </x:c>
      <x:c r="L32" s="52" t="n">
        <x:v>12.24</x:v>
      </x:c>
      <x:c r="M32" s="76" t="n">
        <x:f>IF(K32&gt;0,L32/K32,"")</x:f>
        <x:v>0.31212000000000006</x:v>
      </x:c>
      <x:c r="N32" s="64"/>
      <x:c r="O32" s="58"/>
      <x:c r="P32" s="58"/>
      <x:c r="Q32" s="36" t="str">
        <x:v>Small creator shoutouts, product roundups, maker story collaborations.</x:v>
      </x:c>
      <x:c r="R32" s="76"/>
      <x:c r="S32" s="70"/>
      <x:c r="T32" s="36" t="str">
        <x:v>Medium — outreach-based estimate</x:v>
      </x:c>
    </x:row>
    <x:row r="33">
      <x:c r="A33" s="36" t="str">
        <x:v>Oct</x:v>
      </x:c>
      <x:c r="B33" s="36" t="str">
        <x:v>Referral / Share Loop</x:v>
      </x:c>
      <x:c r="C33" s="46" t="n">
        <x:v>0</x:v>
      </x:c>
      <x:c r="D33" s="58"/>
      <x:c r="E33" s="70"/>
      <x:c r="F33" s="64" t="n">
        <x:f>N30*R33*S33</x:f>
        <x:v>1.0455865233008932</x:v>
      </x:c>
      <x:c r="G33" s="70" t="n">
        <x:v>0.32</x:v>
      </x:c>
      <x:c r="H33" s="64" t="n">
        <x:f>F33*G33</x:f>
        <x:v>0.3345876874562858</x:v>
      </x:c>
      <x:c r="I33" s="70" t="n">
        <x:v>0.45</x:v>
      </x:c>
      <x:c r="J33" s="64" t="n">
        <x:f>H33*I33</x:f>
        <x:v>0.1505644593553286</x:v>
      </x:c>
      <x:c r="K33" s="52" t="n">
        <x:f>IF(J33&gt;0,C33/J33,0)</x:f>
        <x:v>0</x:v>
      </x:c>
      <x:c r="L33" s="52" t="n">
        <x:v>12.24</x:v>
      </x:c>
      <x:c r="M33" s="76" t="str">
        <x:f>IF(K33=0,"Free",L33/K33)</x:f>
        <x:v>Free</x:v>
      </x:c>
      <x:c r="N33" s="64"/>
      <x:c r="O33" s="58"/>
      <x:c r="P33" s="58"/>
      <x:c r="Q33" s="36" t="str">
        <x:v>Existing buyers share products/shops with friends. Referral starts after shareable pages ship.</x:v>
      </x:c>
      <x:c r="R33" s="76" t="n">
        <x:v>0.16</x:v>
      </x:c>
      <x:c r="S33" s="70" t="n">
        <x:v>0.14</x:v>
      </x:c>
      <x:c r="T33" s="36" t="str">
        <x:v>Low — not yet measured</x:v>
      </x:c>
    </x:row>
    <x:row r="34">
      <x:c r="A34" s="44" t="str">
        <x:v>Oct</x:v>
      </x:c>
      <x:c r="B34" s="44" t="str">
        <x:v>Seller Onboarding (Supply)</x:v>
      </x:c>
      <x:c r="C34" s="47" t="n">
        <x:v>200</x:v>
      </x:c>
      <x:c r="D34" s="59"/>
      <x:c r="E34" s="71"/>
      <x:c r="F34" s="65"/>
      <x:c r="G34" s="71"/>
      <x:c r="H34" s="65"/>
      <x:c r="I34" s="71"/>
      <x:c r="J34" s="65"/>
      <x:c r="K34" s="53" t="n">
        <x:f>IF(O34&gt;0,C34/O34,"")</x:f>
        <x:v>14.285714285714286</x:v>
      </x:c>
      <x:c r="L34" s="53"/>
      <x:c r="M34" s="77"/>
      <x:c r="N34" s="65"/>
      <x:c r="O34" s="59" t="n">
        <x:v>14</x:v>
      </x:c>
      <x:c r="P34" s="59" t="n">
        <x:f>P29+O34</x:f>
        <x:v>57</x:v>
      </x:c>
      <x:c r="Q34" s="44" t="str">
        <x:v>Manual outreach to handmade creators. CPO here means cost per new seller shop.</x:v>
      </x:c>
      <x:c r="R34" s="77"/>
      <x:c r="S34" s="71"/>
      <x:c r="T34" s="44" t="str">
        <x:v>Medium — based on direct seller outreach capacity</x:v>
      </x:c>
    </x:row>
    <x:row r="35">
      <x:c r="A35" s="41" t="str">
        <x:v>Oct</x:v>
      </x:c>
      <x:c r="B35" s="41" t="str">
        <x:v>Blended Demand</x:v>
      </x:c>
      <x:c r="C35" s="48" t="n">
        <x:f>SUM(C31:C33)</x:f>
        <x:v>570</x:v>
      </x:c>
      <x:c r="D35" s="60" t="n">
        <x:f>SUM(D31:D32)</x:f>
        <x:v>900</x:v>
      </x:c>
      <x:c r="E35" s="72"/>
      <x:c r="F35" s="66" t="n">
        <x:f>SUM(F31:F33)</x:f>
        <x:v>154.0455865233009</x:v>
      </x:c>
      <x:c r="G35" s="72"/>
      <x:c r="H35" s="66" t="n">
        <x:f>SUM(H31:H33)</x:f>
        <x:v>49.29458768745629</x:v>
      </x:c>
      <x:c r="I35" s="72"/>
      <x:c r="J35" s="66" t="n">
        <x:f>SUM(J31:J33)</x:f>
        <x:v>22.182564459355333</x:v>
      </x:c>
      <x:c r="K35" s="54" t="n">
        <x:f>IF(J35&gt;0,C35/J35,"")</x:f>
        <x:v>25.695856808819357</x:v>
      </x:c>
      <x:c r="L35" s="54" t="n">
        <x:v>12.24</x:v>
      </x:c>
      <x:c r="M35" s="78" t="n">
        <x:f>IF(K35&gt;0,L35/K35,"")</x:f>
        <x:v>0.47634138417984084</x:v>
      </x:c>
      <x:c r="N35" s="66" t="n">
        <x:f>N30+J35</x:f>
        <x:v>68.86053424957377</x:v>
      </x:c>
      <x:c r="O35" s="60"/>
      <x:c r="P35" s="60"/>
      <x:c r="Q35" s="41" t="str">
        <x:v>Monthly demand-side subtotal. Buyer CAC excludes seller-onboarding spend.</x:v>
      </x:c>
      <x:c r="R35" s="78"/>
      <x:c r="S35" s="72"/>
      <x:c r="T35" s="41" t="str">
        <x:v>Formula row</x:v>
      </x:c>
    </x:row>
    <x:row r="38">
      <x:c r="A38" s="28" t="str">
        <x:v>Scenario Summary</x:v>
      </x:c>
      <x:c r="B38" s="28" t="str">
        <x:v>Final Cum Buyers</x:v>
      </x:c>
      <x:c r="C38" s="28" t="str">
        <x:v>M6 New Retained</x:v>
      </x:c>
      <x:c r="D38" s="28" t="str">
        <x:v>M6 Buyer CAC</x:v>
      </x:c>
      <x:c r="E38" s="28" t="str">
        <x:v>Final Seller Shops</x:v>
      </x:c>
      <x:c r="F38" s="28" t="str">
        <x:v>Total Demand Spend</x:v>
      </x:c>
      <x:c r="G38" s="28" t="str">
        <x:v>Total Seller Spend</x:v>
      </x:c>
      <x:c r="H38" s="28" t="str">
        <x:v>M6 LTV:CAC</x:v>
      </x:c>
    </x:row>
    <x:row r="39">
      <x:c r="A39" s="82" t="str">
        <x:v>Worst Case</x:v>
      </x:c>
      <x:c r="B39" s="84" t="n">
        <x:f>N35</x:f>
        <x:v>68.86053424957377</x:v>
      </x:c>
      <x:c r="C39" s="84" t="n">
        <x:f>J35</x:f>
        <x:v>22.182564459355333</x:v>
      </x:c>
      <x:c r="D39" s="86" t="n">
        <x:f>K35</x:f>
        <x:v>25.695856808819357</x:v>
      </x:c>
      <x:c r="E39" s="88" t="n">
        <x:f>P34</x:f>
        <x:v>57</x:v>
      </x:c>
      <x:c r="F39" s="90" t="n">
        <x:f>SUM(C10,C15,C20,C25,C30,C35)</x:f>
        <x:v>2090</x:v>
      </x:c>
      <x:c r="G39" s="90" t="n">
        <x:f>SUM(C9,C14,C19,C24,C29,C34)</x:f>
        <x:v>960</x:v>
      </x:c>
      <x:c r="H39" s="92" t="n">
        <x:f>M35</x:f>
        <x:v>0.47634138417984084</x:v>
      </x:c>
    </x:row>
  </x:sheetData>
  <x:mergeCells>
    <x:mergeCell ref="A1:T1"/>
    <x:mergeCell ref="A2:T2"/>
    <x:mergeCell ref="A4:T4"/>
  </x:mergeCells>
  <x:pageMargins left="0.7" right="0.7" top="0.75" bottom="0.75" header="0.3" footer="0.3"/>
  <x:tableParts count="1">
    <x:tablePart xmlns:r="http://schemas.openxmlformats.org/officeDocument/2006/relationships" r:id="R0a03eb246f5c4c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42" hidden="0" customWidth="1"/>
    <x:col min="4" max="4" width="14" hidden="0" customWidth="1"/>
    <x:col min="5" max="5" width="13.319999694824219" hidden="0" customWidth="1"/>
    <x:col min="6" max="6" width="14.9399995803833" hidden="0" customWidth="1"/>
    <x:col min="7" max="7" width="12.649999618530273" hidden="0" customWidth="1"/>
    <x:col min="8" max="8" width="9.960000038146973" hidden="0" customWidth="1"/>
    <x:col min="9" max="9" width="14.270000457763672" hidden="0" customWidth="1"/>
    <x:col min="10" max="10" width="14.130000114440918" hidden="0" customWidth="1"/>
    <x:col min="11" max="11" width="13.319999694824219" hidden="0" customWidth="1"/>
    <x:col min="12" max="12" width="13.1899995803833" hidden="0" customWidth="1"/>
    <x:col min="13" max="13" width="13.59000015258789" hidden="0" customWidth="1"/>
    <x:col min="14" max="14" width="19.110000610351562" hidden="0" customWidth="1"/>
    <x:col min="15" max="15" width="15.479999542236328" hidden="0" customWidth="1"/>
    <x:col min="16" max="16" width="46" hidden="0" customWidth="1"/>
  </x:cols>
  <x:sheetData>
    <x:row r="1" ht="28" customHeight="1">
      <x:c r="A1" s="132" t="str">
        <x:v>Craft Shop Marketplace — Assumptions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33"/>
      <x:c r="R1" s="133"/>
      <x:c r="S1" s="133"/>
      <x:c r="T1" s="133"/>
    </x:row>
    <x:row r="2" ht="22" customHeight="1">
      <x:c r="A2" s="13" t="str">
        <x:v>Edit inputs here first when changing the growth model. Scenario tabs also keep visible monthly inputs for quick review.</x:v>
      </x:c>
    </x:row>
    <x:row r="4" ht="34" customHeight="1">
      <x:c r="A4" s="29" t="str">
        <x:v>Scenario</x:v>
      </x:c>
      <x:c r="B4" s="29" t="str">
        <x:v>Month</x:v>
      </x:c>
      <x:c r="C4" s="29" t="str">
        <x:v>Visitor→Signup</x:v>
      </x:c>
      <x:c r="D4" s="29" t="str">
        <x:v>Activation</x:v>
      </x:c>
      <x:c r="E4" s="29" t="str">
        <x:v>D30 Retention</x:v>
      </x:c>
      <x:c r="F4" s="29" t="str">
        <x:v>Avg Invites/User</x:v>
      </x:c>
      <x:c r="G4" s="29" t="str">
        <x:v>Referral Conv</x:v>
      </x:c>
      <x:c r="H4" s="29" t="str">
        <x:v>Buyer LTV</x:v>
      </x:c>
      <x:c r="I4" s="29" t="str">
        <x:v>Organic Visitors</x:v>
      </x:c>
      <x:c r="J4" s="29" t="str">
        <x:v>Partner Visitors</x:v>
      </x:c>
      <x:c r="K4" s="29" t="str">
        <x:v>Organic Spend</x:v>
      </x:c>
      <x:c r="L4" s="29" t="str">
        <x:v>Partner Spend</x:v>
      </x:c>
      <x:c r="M4" s="29" t="str">
        <x:v>Referral Spend</x:v>
      </x:c>
      <x:c r="N4" s="29" t="str">
        <x:v>Seller Outreach Spend</x:v>
      </x:c>
      <x:c r="O4" s="29" t="str">
        <x:v>New Seller Shops</x:v>
      </x:c>
      <x:c r="P4" s="29" t="str">
        <x:v>Source / Confidence</x:v>
      </x:c>
    </x:row>
    <x:row r="5">
      <x:c r="A5" s="35" t="str">
        <x:v>Expected Case</x:v>
      </x:c>
      <x:c r="B5" s="35" t="str">
        <x:v>May</x:v>
      </x:c>
      <x:c r="C5" s="94" t="n">
        <x:v>0.18</x:v>
      </x:c>
      <x:c r="D5" s="94" t="n">
        <x:v>0.28</x:v>
      </x:c>
      <x:c r="E5" s="94" t="n">
        <x:v>0.42</x:v>
      </x:c>
      <x:c r="F5" s="96" t="n">
        <x:v>0</x:v>
      </x:c>
      <x:c r="G5" s="94" t="n">
        <x:v>0</x:v>
      </x:c>
      <x:c r="H5" s="98" t="n">
        <x:v>12.24</x:v>
      </x:c>
      <x:c r="I5" s="100" t="n">
        <x:v>450</x:v>
      </x:c>
      <x:c r="J5" s="100" t="n">
        <x:v>250</x:v>
      </x:c>
      <x:c r="K5" s="102" t="n">
        <x:v>60</x:v>
      </x:c>
      <x:c r="L5" s="102" t="n">
        <x:v>80</x:v>
      </x:c>
      <x:c r="M5" s="102" t="n">
        <x:v>0</x:v>
      </x:c>
      <x:c r="N5" s="102" t="n">
        <x:v>120</x:v>
      </x:c>
      <x:c r="O5" s="100" t="n">
        <x:v>8</x:v>
      </x:c>
      <x:c r="P5" s="35" t="str">
        <x:v>Custom model based on craft-shop marketplace assumptions; replace with measured analytics when available.</x:v>
      </x:c>
    </x:row>
    <x:row r="6">
      <x:c r="A6" s="35" t="str">
        <x:v>Expected Case</x:v>
      </x:c>
      <x:c r="B6" s="35" t="str">
        <x:v>Jun</x:v>
      </x:c>
      <x:c r="C6" s="94" t="n">
        <x:v>0.19</x:v>
      </x:c>
      <x:c r="D6" s="94" t="n">
        <x:v>0.32</x:v>
      </x:c>
      <x:c r="E6" s="94" t="n">
        <x:v>0.45</x:v>
      </x:c>
      <x:c r="F6" s="96" t="n">
        <x:v>0.25</x:v>
      </x:c>
      <x:c r="G6" s="94" t="n">
        <x:v>0.16</x:v>
      </x:c>
      <x:c r="H6" s="98" t="n">
        <x:v>12.24</x:v>
      </x:c>
      <x:c r="I6" s="100" t="n">
        <x:v>650</x:v>
      </x:c>
      <x:c r="J6" s="100" t="n">
        <x:v>450</x:v>
      </x:c>
      <x:c r="K6" s="102" t="n">
        <x:v>90</x:v>
      </x:c>
      <x:c r="L6" s="102" t="n">
        <x:v>120</x:v>
      </x:c>
      <x:c r="M6" s="102" t="n">
        <x:v>0</x:v>
      </x:c>
      <x:c r="N6" s="102" t="n">
        <x:v>140</x:v>
      </x:c>
      <x:c r="O6" s="100" t="n">
        <x:v>12</x:v>
      </x:c>
      <x:c r="P6" s="35" t="str">
        <x:v>Custom model based on craft-shop marketplace assumptions; replace with measured analytics when available.</x:v>
      </x:c>
    </x:row>
    <x:row r="7">
      <x:c r="A7" s="35" t="str">
        <x:v>Expected Case</x:v>
      </x:c>
      <x:c r="B7" s="35" t="str">
        <x:v>Jul</x:v>
      </x:c>
      <x:c r="C7" s="94" t="n">
        <x:v>0.2</x:v>
      </x:c>
      <x:c r="D7" s="94" t="n">
        <x:v>0.34</x:v>
      </x:c>
      <x:c r="E7" s="94" t="n">
        <x:v>0.48</x:v>
      </x:c>
      <x:c r="F7" s="96" t="n">
        <x:v>0.32</x:v>
      </x:c>
      <x:c r="G7" s="94" t="n">
        <x:v>0.17</x:v>
      </x:c>
      <x:c r="H7" s="98" t="n">
        <x:v>12.24</x:v>
      </x:c>
      <x:c r="I7" s="100" t="n">
        <x:v>850</x:v>
      </x:c>
      <x:c r="J7" s="100" t="n">
        <x:v>650</x:v>
      </x:c>
      <x:c r="K7" s="102" t="n">
        <x:v>120</x:v>
      </x:c>
      <x:c r="L7" s="102" t="n">
        <x:v>180</x:v>
      </x:c>
      <x:c r="M7" s="102" t="n">
        <x:v>0</x:v>
      </x:c>
      <x:c r="N7" s="102" t="n">
        <x:v>160</x:v>
      </x:c>
      <x:c r="O7" s="100" t="n">
        <x:v>16</x:v>
      </x:c>
      <x:c r="P7" s="35" t="str">
        <x:v>Custom model based on craft-shop marketplace assumptions; replace with measured analytics when available.</x:v>
      </x:c>
    </x:row>
    <x:row r="8">
      <x:c r="A8" s="35" t="str">
        <x:v>Expected Case</x:v>
      </x:c>
      <x:c r="B8" s="35" t="str">
        <x:v>Aug</x:v>
      </x:c>
      <x:c r="C8" s="94" t="n">
        <x:v>0.21</x:v>
      </x:c>
      <x:c r="D8" s="94" t="n">
        <x:v>0.38</x:v>
      </x:c>
      <x:c r="E8" s="94" t="n">
        <x:v>0.52</x:v>
      </x:c>
      <x:c r="F8" s="96" t="n">
        <x:v>0.38</x:v>
      </x:c>
      <x:c r="G8" s="94" t="n">
        <x:v>0.18</x:v>
      </x:c>
      <x:c r="H8" s="98" t="n">
        <x:v>12.24</x:v>
      </x:c>
      <x:c r="I8" s="100" t="n">
        <x:v>1050</x:v>
      </x:c>
      <x:c r="J8" s="100" t="n">
        <x:v>850</x:v>
      </x:c>
      <x:c r="K8" s="102" t="n">
        <x:v>150</x:v>
      </x:c>
      <x:c r="L8" s="102" t="n">
        <x:v>240</x:v>
      </x:c>
      <x:c r="M8" s="102" t="n">
        <x:v>0</x:v>
      </x:c>
      <x:c r="N8" s="102" t="n">
        <x:v>160</x:v>
      </x:c>
      <x:c r="O8" s="100" t="n">
        <x:v>20</x:v>
      </x:c>
      <x:c r="P8" s="35" t="str">
        <x:v>Custom model based on craft-shop marketplace assumptions; replace with measured analytics when available.</x:v>
      </x:c>
    </x:row>
    <x:row r="9">
      <x:c r="A9" s="35" t="str">
        <x:v>Expected Case</x:v>
      </x:c>
      <x:c r="B9" s="35" t="str">
        <x:v>Sep</x:v>
      </x:c>
      <x:c r="C9" s="94" t="n">
        <x:v>0.22</x:v>
      </x:c>
      <x:c r="D9" s="94" t="n">
        <x:v>0.42</x:v>
      </x:c>
      <x:c r="E9" s="94" t="n">
        <x:v>0.55</x:v>
      </x:c>
      <x:c r="F9" s="96" t="n">
        <x:v>0.45</x:v>
      </x:c>
      <x:c r="G9" s="94" t="n">
        <x:v>0.19</x:v>
      </x:c>
      <x:c r="H9" s="98" t="n">
        <x:v>12.24</x:v>
      </x:c>
      <x:c r="I9" s="100" t="n">
        <x:v>1250</x:v>
      </x:c>
      <x:c r="J9" s="100" t="n">
        <x:v>1050</x:v>
      </x:c>
      <x:c r="K9" s="102" t="n">
        <x:v>180</x:v>
      </x:c>
      <x:c r="L9" s="102" t="n">
        <x:v>300</x:v>
      </x:c>
      <x:c r="M9" s="102" t="n">
        <x:v>0</x:v>
      </x:c>
      <x:c r="N9" s="102" t="n">
        <x:v>180</x:v>
      </x:c>
      <x:c r="O9" s="100" t="n">
        <x:v>24</x:v>
      </x:c>
      <x:c r="P9" s="35" t="str">
        <x:v>Custom model based on craft-shop marketplace assumptions; replace with measured analytics when available.</x:v>
      </x:c>
    </x:row>
    <x:row r="10">
      <x:c r="A10" s="35" t="str">
        <x:v>Expected Case</x:v>
      </x:c>
      <x:c r="B10" s="35" t="str">
        <x:v>Oct</x:v>
      </x:c>
      <x:c r="C10" s="94" t="n">
        <x:v>0.23</x:v>
      </x:c>
      <x:c r="D10" s="94" t="n">
        <x:v>0.45</x:v>
      </x:c>
      <x:c r="E10" s="94" t="n">
        <x:v>0.58</x:v>
      </x:c>
      <x:c r="F10" s="96" t="n">
        <x:v>0.5</x:v>
      </x:c>
      <x:c r="G10" s="94" t="n">
        <x:v>0.2</x:v>
      </x:c>
      <x:c r="H10" s="98" t="n">
        <x:v>12.24</x:v>
      </x:c>
      <x:c r="I10" s="100" t="n">
        <x:v>1450</x:v>
      </x:c>
      <x:c r="J10" s="100" t="n">
        <x:v>1250</x:v>
      </x:c>
      <x:c r="K10" s="102" t="n">
        <x:v>210</x:v>
      </x:c>
      <x:c r="L10" s="102" t="n">
        <x:v>360</x:v>
      </x:c>
      <x:c r="M10" s="102" t="n">
        <x:v>0</x:v>
      </x:c>
      <x:c r="N10" s="102" t="n">
        <x:v>200</x:v>
      </x:c>
      <x:c r="O10" s="100" t="n">
        <x:v>28</x:v>
      </x:c>
      <x:c r="P10" s="35" t="str">
        <x:v>Custom model based on craft-shop marketplace assumptions; replace with measured analytics when available.</x:v>
      </x:c>
    </x:row>
    <x:row r="11">
      <x:c r="A11" s="35" t="str">
        <x:v>Best Case</x:v>
      </x:c>
      <x:c r="B11" s="35" t="str">
        <x:v>May</x:v>
      </x:c>
      <x:c r="C11" s="94" t="n">
        <x:v>0.22</x:v>
      </x:c>
      <x:c r="D11" s="94" t="n">
        <x:v>0.35</x:v>
      </x:c>
      <x:c r="E11" s="94" t="n">
        <x:v>0.5</x:v>
      </x:c>
      <x:c r="F11" s="96" t="n">
        <x:v>0</x:v>
      </x:c>
      <x:c r="G11" s="94" t="n">
        <x:v>0</x:v>
      </x:c>
      <x:c r="H11" s="98" t="n">
        <x:v>12.24</x:v>
      </x:c>
      <x:c r="I11" s="100" t="n">
        <x:v>550</x:v>
      </x:c>
      <x:c r="J11" s="100" t="n">
        <x:v>350</x:v>
      </x:c>
      <x:c r="K11" s="102" t="n">
        <x:v>60</x:v>
      </x:c>
      <x:c r="L11" s="102" t="n">
        <x:v>80</x:v>
      </x:c>
      <x:c r="M11" s="102" t="n">
        <x:v>0</x:v>
      </x:c>
      <x:c r="N11" s="102" t="n">
        <x:v>120</x:v>
      </x:c>
      <x:c r="O11" s="100" t="n">
        <x:v>10</x:v>
      </x:c>
      <x:c r="P11" s="35" t="str">
        <x:v>Custom model based on craft-shop marketplace assumptions; replace with measured analytics when available.</x:v>
      </x:c>
    </x:row>
    <x:row r="12">
      <x:c r="A12" s="35" t="str">
        <x:v>Best Case</x:v>
      </x:c>
      <x:c r="B12" s="35" t="str">
        <x:v>Jun</x:v>
      </x:c>
      <x:c r="C12" s="94" t="n">
        <x:v>0.24</x:v>
      </x:c>
      <x:c r="D12" s="94" t="n">
        <x:v>0.4</x:v>
      </x:c>
      <x:c r="E12" s="94" t="n">
        <x:v>0.53</x:v>
      </x:c>
      <x:c r="F12" s="96" t="n">
        <x:v>0.4</x:v>
      </x:c>
      <x:c r="G12" s="94" t="n">
        <x:v>0.2</x:v>
      </x:c>
      <x:c r="H12" s="98" t="n">
        <x:v>12.24</x:v>
      </x:c>
      <x:c r="I12" s="100" t="n">
        <x:v>800</x:v>
      </x:c>
      <x:c r="J12" s="100" t="n">
        <x:v>600</x:v>
      </x:c>
      <x:c r="K12" s="102" t="n">
        <x:v>90</x:v>
      </x:c>
      <x:c r="L12" s="102" t="n">
        <x:v>120</x:v>
      </x:c>
      <x:c r="M12" s="102" t="n">
        <x:v>0</x:v>
      </x:c>
      <x:c r="N12" s="102" t="n">
        <x:v>140</x:v>
      </x:c>
      <x:c r="O12" s="100" t="n">
        <x:v>16</x:v>
      </x:c>
      <x:c r="P12" s="35" t="str">
        <x:v>Custom model based on craft-shop marketplace assumptions; replace with measured analytics when available.</x:v>
      </x:c>
    </x:row>
    <x:row r="13">
      <x:c r="A13" s="35" t="str">
        <x:v>Best Case</x:v>
      </x:c>
      <x:c r="B13" s="35" t="str">
        <x:v>Jul</x:v>
      </x:c>
      <x:c r="C13" s="94" t="n">
        <x:v>0.25</x:v>
      </x:c>
      <x:c r="D13" s="94" t="n">
        <x:v>0.44</x:v>
      </x:c>
      <x:c r="E13" s="94" t="n">
        <x:v>0.56</x:v>
      </x:c>
      <x:c r="F13" s="96" t="n">
        <x:v>0.48</x:v>
      </x:c>
      <x:c r="G13" s="94" t="n">
        <x:v>0.22</x:v>
      </x:c>
      <x:c r="H13" s="98" t="n">
        <x:v>12.24</x:v>
      </x:c>
      <x:c r="I13" s="100" t="n">
        <x:v>1100</x:v>
      </x:c>
      <x:c r="J13" s="100" t="n">
        <x:v>900</x:v>
      </x:c>
      <x:c r="K13" s="102" t="n">
        <x:v>120</x:v>
      </x:c>
      <x:c r="L13" s="102" t="n">
        <x:v>180</x:v>
      </x:c>
      <x:c r="M13" s="102" t="n">
        <x:v>0</x:v>
      </x:c>
      <x:c r="N13" s="102" t="n">
        <x:v>160</x:v>
      </x:c>
      <x:c r="O13" s="100" t="n">
        <x:v>22</x:v>
      </x:c>
      <x:c r="P13" s="35" t="str">
        <x:v>Custom model based on craft-shop marketplace assumptions; replace with measured analytics when available.</x:v>
      </x:c>
    </x:row>
    <x:row r="14">
      <x:c r="A14" s="35" t="str">
        <x:v>Best Case</x:v>
      </x:c>
      <x:c r="B14" s="35" t="str">
        <x:v>Aug</x:v>
      </x:c>
      <x:c r="C14" s="94" t="n">
        <x:v>0.26</x:v>
      </x:c>
      <x:c r="D14" s="94" t="n">
        <x:v>0.48</x:v>
      </x:c>
      <x:c r="E14" s="94" t="n">
        <x:v>0.58</x:v>
      </x:c>
      <x:c r="F14" s="96" t="n">
        <x:v>0.55</x:v>
      </x:c>
      <x:c r="G14" s="94" t="n">
        <x:v>0.23</x:v>
      </x:c>
      <x:c r="H14" s="98" t="n">
        <x:v>12.24</x:v>
      </x:c>
      <x:c r="I14" s="100" t="n">
        <x:v>1450</x:v>
      </x:c>
      <x:c r="J14" s="100" t="n">
        <x:v>1200</x:v>
      </x:c>
      <x:c r="K14" s="102" t="n">
        <x:v>150</x:v>
      </x:c>
      <x:c r="L14" s="102" t="n">
        <x:v>240</x:v>
      </x:c>
      <x:c r="M14" s="102" t="n">
        <x:v>0</x:v>
      </x:c>
      <x:c r="N14" s="102" t="n">
        <x:v>160</x:v>
      </x:c>
      <x:c r="O14" s="100" t="n">
        <x:v>30</x:v>
      </x:c>
      <x:c r="P14" s="35" t="str">
        <x:v>Custom model based on craft-shop marketplace assumptions; replace with measured analytics when available.</x:v>
      </x:c>
    </x:row>
    <x:row r="15">
      <x:c r="A15" s="35" t="str">
        <x:v>Best Case</x:v>
      </x:c>
      <x:c r="B15" s="35" t="str">
        <x:v>Sep</x:v>
      </x:c>
      <x:c r="C15" s="94" t="n">
        <x:v>0.27</x:v>
      </x:c>
      <x:c r="D15" s="94" t="n">
        <x:v>0.5</x:v>
      </x:c>
      <x:c r="E15" s="94" t="n">
        <x:v>0.6</x:v>
      </x:c>
      <x:c r="F15" s="96" t="n">
        <x:v>0.6</x:v>
      </x:c>
      <x:c r="G15" s="94" t="n">
        <x:v>0.24</x:v>
      </x:c>
      <x:c r="H15" s="98" t="n">
        <x:v>12.24</x:v>
      </x:c>
      <x:c r="I15" s="100" t="n">
        <x:v>1800</x:v>
      </x:c>
      <x:c r="J15" s="100" t="n">
        <x:v>1500</x:v>
      </x:c>
      <x:c r="K15" s="102" t="n">
        <x:v>180</x:v>
      </x:c>
      <x:c r="L15" s="102" t="n">
        <x:v>300</x:v>
      </x:c>
      <x:c r="M15" s="102" t="n">
        <x:v>0</x:v>
      </x:c>
      <x:c r="N15" s="102" t="n">
        <x:v>180</x:v>
      </x:c>
      <x:c r="O15" s="100" t="n">
        <x:v>36</x:v>
      </x:c>
      <x:c r="P15" s="35" t="str">
        <x:v>Custom model based on craft-shop marketplace assumptions; replace with measured analytics when available.</x:v>
      </x:c>
    </x:row>
    <x:row r="16">
      <x:c r="A16" s="35" t="str">
        <x:v>Best Case</x:v>
      </x:c>
      <x:c r="B16" s="35" t="str">
        <x:v>Oct</x:v>
      </x:c>
      <x:c r="C16" s="94" t="n">
        <x:v>0.28</x:v>
      </x:c>
      <x:c r="D16" s="94" t="n">
        <x:v>0.52</x:v>
      </x:c>
      <x:c r="E16" s="94" t="n">
        <x:v>0.62</x:v>
      </x:c>
      <x:c r="F16" s="96" t="n">
        <x:v>0.65</x:v>
      </x:c>
      <x:c r="G16" s="94" t="n">
        <x:v>0.25</x:v>
      </x:c>
      <x:c r="H16" s="98" t="n">
        <x:v>12.24</x:v>
      </x:c>
      <x:c r="I16" s="100" t="n">
        <x:v>2200</x:v>
      </x:c>
      <x:c r="J16" s="100" t="n">
        <x:v>1800</x:v>
      </x:c>
      <x:c r="K16" s="102" t="n">
        <x:v>210</x:v>
      </x:c>
      <x:c r="L16" s="102" t="n">
        <x:v>360</x:v>
      </x:c>
      <x:c r="M16" s="102" t="n">
        <x:v>0</x:v>
      </x:c>
      <x:c r="N16" s="102" t="n">
        <x:v>200</x:v>
      </x:c>
      <x:c r="O16" s="100" t="n">
        <x:v>44</x:v>
      </x:c>
      <x:c r="P16" s="35" t="str">
        <x:v>Custom model based on craft-shop marketplace assumptions; replace with measured analytics when available.</x:v>
      </x:c>
    </x:row>
    <x:row r="17">
      <x:c r="A17" s="35" t="str">
        <x:v>Worst Case</x:v>
      </x:c>
      <x:c r="B17" s="35" t="str">
        <x:v>May</x:v>
      </x:c>
      <x:c r="C17" s="94" t="n">
        <x:v>0.12</x:v>
      </x:c>
      <x:c r="D17" s="94" t="n">
        <x:v>0.22</x:v>
      </x:c>
      <x:c r="E17" s="94" t="n">
        <x:v>0.35</x:v>
      </x:c>
      <x:c r="F17" s="96" t="n">
        <x:v>0</x:v>
      </x:c>
      <x:c r="G17" s="94" t="n">
        <x:v>0</x:v>
      </x:c>
      <x:c r="H17" s="98" t="n">
        <x:v>12.24</x:v>
      </x:c>
      <x:c r="I17" s="100" t="n">
        <x:v>275</x:v>
      </x:c>
      <x:c r="J17" s="100" t="n">
        <x:v>125</x:v>
      </x:c>
      <x:c r="K17" s="102" t="n">
        <x:v>60</x:v>
      </x:c>
      <x:c r="L17" s="102" t="n">
        <x:v>80</x:v>
      </x:c>
      <x:c r="M17" s="102" t="n">
        <x:v>0</x:v>
      </x:c>
      <x:c r="N17" s="102" t="n">
        <x:v>120</x:v>
      </x:c>
      <x:c r="O17" s="100" t="n">
        <x:v>5</x:v>
      </x:c>
      <x:c r="P17" s="35" t="str">
        <x:v>Custom model based on craft-shop marketplace assumptions; replace with measured analytics when available.</x:v>
      </x:c>
    </x:row>
    <x:row r="18">
      <x:c r="A18" s="35" t="str">
        <x:v>Worst Case</x:v>
      </x:c>
      <x:c r="B18" s="35" t="str">
        <x:v>Jun</x:v>
      </x:c>
      <x:c r="C18" s="94" t="n">
        <x:v>0.13</x:v>
      </x:c>
      <x:c r="D18" s="94" t="n">
        <x:v>0.24</x:v>
      </x:c>
      <x:c r="E18" s="94" t="n">
        <x:v>0.37</x:v>
      </x:c>
      <x:c r="F18" s="96" t="n">
        <x:v>0.1</x:v>
      </x:c>
      <x:c r="G18" s="94" t="n">
        <x:v>0.1</x:v>
      </x:c>
      <x:c r="H18" s="98" t="n">
        <x:v>12.24</x:v>
      </x:c>
      <x:c r="I18" s="100" t="n">
        <x:v>325</x:v>
      </x:c>
      <x:c r="J18" s="100" t="n">
        <x:v>175</x:v>
      </x:c>
      <x:c r="K18" s="102" t="n">
        <x:v>90</x:v>
      </x:c>
      <x:c r="L18" s="102" t="n">
        <x:v>120</x:v>
      </x:c>
      <x:c r="M18" s="102" t="n">
        <x:v>0</x:v>
      </x:c>
      <x:c r="N18" s="102" t="n">
        <x:v>140</x:v>
      </x:c>
      <x:c r="O18" s="100" t="n">
        <x:v>7</x:v>
      </x:c>
      <x:c r="P18" s="35" t="str">
        <x:v>Custom model based on craft-shop marketplace assumptions; replace with measured analytics when available.</x:v>
      </x:c>
    </x:row>
    <x:row r="19">
      <x:c r="A19" s="35" t="str">
        <x:v>Worst Case</x:v>
      </x:c>
      <x:c r="B19" s="35" t="str">
        <x:v>Jul</x:v>
      </x:c>
      <x:c r="C19" s="94" t="n">
        <x:v>0.14</x:v>
      </x:c>
      <x:c r="D19" s="94" t="n">
        <x:v>0.26</x:v>
      </x:c>
      <x:c r="E19" s="94" t="n">
        <x:v>0.39</x:v>
      </x:c>
      <x:c r="F19" s="96" t="n">
        <x:v>0.12</x:v>
      </x:c>
      <x:c r="G19" s="94" t="n">
        <x:v>0.11</x:v>
      </x:c>
      <x:c r="H19" s="98" t="n">
        <x:v>12.24</x:v>
      </x:c>
      <x:c r="I19" s="100" t="n">
        <x:v>375</x:v>
      </x:c>
      <x:c r="J19" s="100" t="n">
        <x:v>225</x:v>
      </x:c>
      <x:c r="K19" s="102" t="n">
        <x:v>120</x:v>
      </x:c>
      <x:c r="L19" s="102" t="n">
        <x:v>180</x:v>
      </x:c>
      <x:c r="M19" s="102" t="n">
        <x:v>0</x:v>
      </x:c>
      <x:c r="N19" s="102" t="n">
        <x:v>160</x:v>
      </x:c>
      <x:c r="O19" s="100" t="n">
        <x:v>9</x:v>
      </x:c>
      <x:c r="P19" s="35" t="str">
        <x:v>Custom model based on craft-shop marketplace assumptions; replace with measured analytics when available.</x:v>
      </x:c>
    </x:row>
    <x:row r="20">
      <x:c r="A20" s="35" t="str">
        <x:v>Worst Case</x:v>
      </x:c>
      <x:c r="B20" s="35" t="str">
        <x:v>Aug</x:v>
      </x:c>
      <x:c r="C20" s="94" t="n">
        <x:v>0.15</x:v>
      </x:c>
      <x:c r="D20" s="94" t="n">
        <x:v>0.28</x:v>
      </x:c>
      <x:c r="E20" s="94" t="n">
        <x:v>0.41</x:v>
      </x:c>
      <x:c r="F20" s="96" t="n">
        <x:v>0.14</x:v>
      </x:c>
      <x:c r="G20" s="94" t="n">
        <x:v>0.12</x:v>
      </x:c>
      <x:c r="H20" s="98" t="n">
        <x:v>12.24</x:v>
      </x:c>
      <x:c r="I20" s="100" t="n">
        <x:v>425</x:v>
      </x:c>
      <x:c r="J20" s="100" t="n">
        <x:v>275</x:v>
      </x:c>
      <x:c r="K20" s="102" t="n">
        <x:v>150</x:v>
      </x:c>
      <x:c r="L20" s="102" t="n">
        <x:v>240</x:v>
      </x:c>
      <x:c r="M20" s="102" t="n">
        <x:v>0</x:v>
      </x:c>
      <x:c r="N20" s="102" t="n">
        <x:v>160</x:v>
      </x:c>
      <x:c r="O20" s="100" t="n">
        <x:v>10</x:v>
      </x:c>
      <x:c r="P20" s="35" t="str">
        <x:v>Custom model based on craft-shop marketplace assumptions; replace with measured analytics when available.</x:v>
      </x:c>
    </x:row>
    <x:row r="21">
      <x:c r="A21" s="35" t="str">
        <x:v>Worst Case</x:v>
      </x:c>
      <x:c r="B21" s="35" t="str">
        <x:v>Sep</x:v>
      </x:c>
      <x:c r="C21" s="94" t="n">
        <x:v>0.16</x:v>
      </x:c>
      <x:c r="D21" s="94" t="n">
        <x:v>0.3</x:v>
      </x:c>
      <x:c r="E21" s="94" t="n">
        <x:v>0.43</x:v>
      </x:c>
      <x:c r="F21" s="96" t="n">
        <x:v>0.15</x:v>
      </x:c>
      <x:c r="G21" s="94" t="n">
        <x:v>0.13</x:v>
      </x:c>
      <x:c r="H21" s="98" t="n">
        <x:v>12.24</x:v>
      </x:c>
      <x:c r="I21" s="100" t="n">
        <x:v>475</x:v>
      </x:c>
      <x:c r="J21" s="100" t="n">
        <x:v>325</x:v>
      </x:c>
      <x:c r="K21" s="102" t="n">
        <x:v>180</x:v>
      </x:c>
      <x:c r="L21" s="102" t="n">
        <x:v>300</x:v>
      </x:c>
      <x:c r="M21" s="102" t="n">
        <x:v>0</x:v>
      </x:c>
      <x:c r="N21" s="102" t="n">
        <x:v>180</x:v>
      </x:c>
      <x:c r="O21" s="100" t="n">
        <x:v>12</x:v>
      </x:c>
      <x:c r="P21" s="35" t="str">
        <x:v>Custom model based on craft-shop marketplace assumptions; replace with measured analytics when available.</x:v>
      </x:c>
    </x:row>
    <x:row r="22">
      <x:c r="A22" s="35" t="str">
        <x:v>Worst Case</x:v>
      </x:c>
      <x:c r="B22" s="35" t="str">
        <x:v>Oct</x:v>
      </x:c>
      <x:c r="C22" s="94" t="n">
        <x:v>0.17</x:v>
      </x:c>
      <x:c r="D22" s="94" t="n">
        <x:v>0.32</x:v>
      </x:c>
      <x:c r="E22" s="94" t="n">
        <x:v>0.45</x:v>
      </x:c>
      <x:c r="F22" s="96" t="n">
        <x:v>0.16</x:v>
      </x:c>
      <x:c r="G22" s="94" t="n">
        <x:v>0.14</x:v>
      </x:c>
      <x:c r="H22" s="98" t="n">
        <x:v>12.24</x:v>
      </x:c>
      <x:c r="I22" s="100" t="n">
        <x:v>525</x:v>
      </x:c>
      <x:c r="J22" s="100" t="n">
        <x:v>375</x:v>
      </x:c>
      <x:c r="K22" s="102" t="n">
        <x:v>210</x:v>
      </x:c>
      <x:c r="L22" s="102" t="n">
        <x:v>360</x:v>
      </x:c>
      <x:c r="M22" s="102" t="n">
        <x:v>0</x:v>
      </x:c>
      <x:c r="N22" s="102" t="n">
        <x:v>200</x:v>
      </x:c>
      <x:c r="O22" s="100" t="n">
        <x:v>14</x:v>
      </x:c>
      <x:c r="P22" s="35" t="str">
        <x:v>Custom model based on craft-shop marketplace assumptions; replace with measured analytics when available.</x:v>
      </x:c>
    </x:row>
    <x:row r="26">
      <x:c r="A26" s="104" t="str">
        <x:v>Input</x:v>
      </x:c>
      <x:c r="B26" s="104" t="str">
        <x:v>Value / Meaning</x:v>
      </x:c>
      <x:c r="C26" s="104" t="str">
        <x:v>Source</x:v>
      </x:c>
      <x:c r="D26" s="104" t="str">
        <x:v>Confidence</x:v>
      </x:c>
    </x:row>
    <x:row r="27">
      <x:c r="A27" s="36" t="str">
        <x:v>Activation event</x:v>
      </x:c>
      <x:c r="B27" s="36" t="str">
        <x:v>Buyer signs up and completes a high-intent action: saves a product, messages a creator, adds to cart, or starts checkout.</x:v>
      </x:c>
      <x:c r="C27" s="36" t="str">
        <x:v>Product event schema assumption</x:v>
      </x:c>
      <x:c r="D27" s="36" t="str">
        <x:v>Medium</x:v>
      </x:c>
    </x:row>
    <x:row r="28">
      <x:c r="A28" s="36" t="str">
        <x:v>Retained D30</x:v>
      </x:c>
      <x:c r="B28" s="36" t="str">
        <x:v>Activated buyer returns or performs another high-intent action within 30 days.</x:v>
      </x:c>
      <x:c r="C28" s="36" t="str">
        <x:v>No 30-day cohort data yet; conservative marketplace assumption</x:v>
      </x:c>
      <x:c r="D28" s="36" t="str">
        <x:v>Low</x:v>
      </x:c>
    </x:row>
    <x:row r="29">
      <x:c r="A29" s="36" t="str">
        <x:v>Buyer LTV</x:v>
      </x:c>
      <x:c r="B29" s="36" t="str">
        <x:v>$12.24 = $24 AOV × 15% marketplace take rate × 85% gross margin × 4 orders over six months.</x:v>
      </x:c>
      <x:c r="C29" s="36" t="str">
        <x:v>Unit economics estimate for early craft marketplace</x:v>
      </x:c>
      <x:c r="D29" s="36" t="str">
        <x:v>Medium</x:v>
      </x:c>
    </x:row>
    <x:row r="30">
      <x:c r="A30" s="36" t="str">
        <x:v>Referral loop</x:v>
      </x:c>
      <x:c r="B30" s="36" t="str">
        <x:v>Existing retained buyers share shop/product links with friends; signups are calculated from cumulative retained buyers × avg invites/user × referral conversion.</x:v>
      </x:c>
      <x:c r="C30" s="36" t="str">
        <x:v>Feature not yet measured</x:v>
      </x:c>
      <x:c r="D30" s="36" t="str">
        <x:v>Low</x:v>
      </x:c>
    </x:row>
    <x:row r="31">
      <x:c r="A31" s="36" t="str">
        <x:v>Seller onboarding</x:v>
      </x:c>
      <x:c r="B31" s="36" t="str">
        <x:v>Supply-side creator acquisition tracked separately; seller CPO = seller outreach spend ÷ new seller shops.</x:v>
      </x:c>
      <x:c r="C31" s="36" t="str">
        <x:v>Manual outreach capacity estimate</x:v>
      </x:c>
      <x:c r="D31" s="36" t="str">
        <x:v>Medium</x:v>
      </x:c>
    </x:row>
    <x:row r="32">
      <x:c r="A32" s="36" t="str">
        <x:v>Reference structure</x:v>
      </x:c>
      <x:c r="B32" s="36" t="str">
        <x:v>Workbook structure follows the uploaded growth projection reference but uses custom craft-shop marketplace numbers.</x:v>
      </x:c>
      <x:c r="C32" s="36" t="str">
        <x:v>User-provided spreadsheet reference</x:v>
      </x:c>
      <x:c r="D32" s="36" t="str">
        <x:v>High</x:v>
      </x:c>
    </x:row>
  </x:sheetData>
  <x:mergeCells>
    <x:mergeCell ref="A1:P1"/>
    <x:mergeCell ref="A2:P2"/>
  </x:mergeCells>
  <x:pageMargins left="0.7" right="0.7" top="0.75" bottom="0.75" header="0.3" footer="0.3"/>
  <x:tableParts count="2">
    <x:tablePart xmlns:r="http://schemas.openxmlformats.org/officeDocument/2006/relationships" r:id="Ra85c8ea7633d46bf"/>
    <x:tablePart xmlns:r="http://schemas.openxmlformats.org/officeDocument/2006/relationships" r:id="Rc9264cd16b09429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5" hidden="0" customWidth="1"/>
    <x:col min="5" max="5" width="16" hidden="0" customWidth="1"/>
    <x:col min="6" max="6" width="17" hidden="0" customWidth="1"/>
    <x:col min="7" max="7" width="17" hidden="0" customWidth="1"/>
    <x:col min="8" max="8" width="12" hidden="0" customWidth="1"/>
    <x:col min="9" max="9" width="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8" customHeight="1">
      <x:c r="A1" s="132" t="str">
        <x:v>Craft Shop Marketplace — Growth Projection Dashboard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  <x:c r="Q1" s="133"/>
      <x:c r="R1" s="133"/>
      <x:c r="S1" s="133"/>
      <x:c r="T1" s="133"/>
    </x:row>
    <x:row r="2" ht="22" customHeight="1">
      <x:c r="A2" s="13" t="str">
        <x:v>6-month buyer growth, CAC, LTV:CAC, and seller-shop supply projection across Expected, Best, and Worst cases.</x:v>
      </x:c>
    </x:row>
    <x:row r="4" ht="32" customHeight="1">
      <x:c r="A4" s="28" t="str">
        <x:v>Scenario</x:v>
      </x:c>
      <x:c r="B4" s="28" t="str">
        <x:v>Final Cum Buyers</x:v>
      </x:c>
      <x:c r="C4" s="28" t="str">
        <x:v>M6 New Retained</x:v>
      </x:c>
      <x:c r="D4" s="28" t="str">
        <x:v>M6 Buyer CAC</x:v>
      </x:c>
      <x:c r="E4" s="28" t="str">
        <x:v>Final Seller Shops</x:v>
      </x:c>
      <x:c r="F4" s="28" t="str">
        <x:v>Total Demand Spend</x:v>
      </x:c>
      <x:c r="G4" s="28" t="str">
        <x:v>Total Seller Spend</x:v>
      </x:c>
      <x:c r="H4" s="28" t="str">
        <x:v>M6 LTV:CAC</x:v>
      </x:c>
    </x:row>
    <x:row r="5">
      <x:c r="A5" s="106" t="str">
        <x:v>Expected Case</x:v>
      </x:c>
      <x:c r="B5" s="108" t="n">
        <x:f>'Expected Case'!N35</x:f>
        <x:v>464.58367283112744</x:v>
      </x:c>
      <x:c r="C5" s="108" t="n">
        <x:f>'Expected Case'!J35</x:f>
        <x:v>169.77549348103736</x:v>
      </x:c>
      <x:c r="D5" s="110" t="n">
        <x:f>'Expected Case'!K35</x:f>
        <x:v>3.357375015161801</x:v>
      </x:c>
      <x:c r="E5" s="112" t="n">
        <x:f>'Expected Case'!P34</x:f>
        <x:v>108</x:v>
      </x:c>
      <x:c r="F5" s="114" t="n">
        <x:f>SUM('Expected Case'!C10,'Expected Case'!C15,'Expected Case'!C20,'Expected Case'!C25,'Expected Case'!C30,'Expected Case'!C35)</x:f>
        <x:v>2090</x:v>
      </x:c>
      <x:c r="G5" s="114" t="n">
        <x:f>SUM('Expected Case'!C9,'Expected Case'!C14,'Expected Case'!C19,'Expected Case'!C24,'Expected Case'!C29,'Expected Case'!C34)</x:f>
        <x:v>960</x:v>
      </x:c>
      <x:c r="H5" s="116" t="n">
        <x:f>'Expected Case'!M35</x:f>
        <x:v>3.645705333698065</x:v>
      </x:c>
    </x:row>
    <x:row r="6">
      <x:c r="A6" s="106" t="str">
        <x:v>Best Case</x:v>
      </x:c>
      <x:c r="B6" s="108" t="n">
        <x:f>'Best Case'!N35</x:f>
        <x:v>1117.1514206527595</x:v>
      </x:c>
      <x:c r="C6" s="108" t="n">
        <x:f>'Best Case'!J35</x:f>
        <x:v>398.7262924657191</x:v>
      </x:c>
      <x:c r="D6" s="110" t="n">
        <x:f>'Best Case'!K35</x:f>
        <x:v>1.4295520781314073</x:v>
      </x:c>
      <x:c r="E6" s="112" t="n">
        <x:f>'Best Case'!P34</x:f>
        <x:v>158</x:v>
      </x:c>
      <x:c r="F6" s="114" t="n">
        <x:f>SUM('Best Case'!C10,'Best Case'!C15,'Best Case'!C20,'Best Case'!C25,'Best Case'!C30,'Best Case'!C35)</x:f>
        <x:v>2090</x:v>
      </x:c>
      <x:c r="G6" s="114" t="n">
        <x:f>SUM('Best Case'!C9,'Best Case'!C14,'Best Case'!C19,'Best Case'!C24,'Best Case'!C29,'Best Case'!C34)</x:f>
        <x:v>960</x:v>
      </x:c>
      <x:c r="H6" s="116" t="n">
        <x:f>'Best Case'!M35</x:f>
        <x:v>8.56212249084281</x:v>
      </x:c>
    </x:row>
    <x:row r="7">
      <x:c r="A7" s="106" t="str">
        <x:v>Worst Case</x:v>
      </x:c>
      <x:c r="B7" s="108" t="n">
        <x:f>'Worst Case'!N35</x:f>
        <x:v>68.86053424957377</x:v>
      </x:c>
      <x:c r="C7" s="108" t="n">
        <x:f>'Worst Case'!J35</x:f>
        <x:v>22.182564459355333</x:v>
      </x:c>
      <x:c r="D7" s="110" t="n">
        <x:f>'Worst Case'!K35</x:f>
        <x:v>25.695856808819357</x:v>
      </x:c>
      <x:c r="E7" s="112" t="n">
        <x:f>'Worst Case'!P34</x:f>
        <x:v>57</x:v>
      </x:c>
      <x:c r="F7" s="114" t="n">
        <x:f>SUM('Worst Case'!C10,'Worst Case'!C15,'Worst Case'!C20,'Worst Case'!C25,'Worst Case'!C30,'Worst Case'!C35)</x:f>
        <x:v>2090</x:v>
      </x:c>
      <x:c r="G7" s="114" t="n">
        <x:f>SUM('Worst Case'!C9,'Worst Case'!C14,'Worst Case'!C19,'Worst Case'!C24,'Worst Case'!C29,'Worst Case'!C34)</x:f>
        <x:v>960</x:v>
      </x:c>
      <x:c r="H7" s="116" t="n">
        <x:f>'Worst Case'!M35</x:f>
        <x:v>0.47634138417984084</x:v>
      </x:c>
    </x:row>
    <x:row r="9">
      <x:c r="A9" s="119" t="str">
        <x:v>Interpretation</x:v>
      </x:c>
    </x:row>
    <x:row r="10">
      <x:c r="A10" s="41" t="str">
        <x:v>Expected Case</x:v>
      </x:c>
      <x:c r="B10" s="44" t="str">
        <x:v>Strong enough early validation: buyer CAC drops as activation and retention improve; seller supply reaches 108 shops by Month 6.</x:v>
      </x:c>
      <x:c r="C10" s="44" t="str"/>
      <x:c r="D10" s="44" t="str"/>
      <x:c r="E10" s="44" t="str"/>
      <x:c r="F10" s="44" t="str"/>
      <x:c r="G10" s="44" t="str"/>
      <x:c r="H10" s="44" t="str"/>
    </x:row>
    <x:row r="11">
      <x:c r="A11" s="41" t="str">
        <x:v>Best Case</x:v>
      </x:c>
      <x:c r="B11" s="44" t="str">
        <x:v>High social conversion + stronger referral loop creates compounding retained buyers and a much healthier LTV:CAC ratio.</x:v>
      </x:c>
      <x:c r="C11" s="44" t="str"/>
      <x:c r="D11" s="44" t="str"/>
      <x:c r="E11" s="44" t="str"/>
      <x:c r="F11" s="44" t="str"/>
      <x:c r="G11" s="44" t="str"/>
      <x:c r="H11" s="44" t="str"/>
    </x:row>
    <x:row r="12">
      <x:c r="A12" s="41" t="str">
        <x:v>Worst Case</x:v>
      </x:c>
      <x:c r="B12" s="44" t="str">
        <x:v>Distribution risk is visible: lower traffic and weaker conversion make buyer CAC too high unless acquisition/channel quality improves.</x:v>
      </x:c>
      <x:c r="C12" s="44" t="str"/>
      <x:c r="D12" s="44" t="str"/>
      <x:c r="E12" s="44" t="str"/>
      <x:c r="F12" s="44" t="str"/>
      <x:c r="G12" s="44" t="str"/>
      <x:c r="H12" s="44" t="str"/>
    </x:row>
    <x:row r="15">
      <x:c r="A15" s="104" t="str">
        <x:v>Scenario</x:v>
      </x:c>
      <x:c r="B15" s="104" t="str">
        <x:v>May</x:v>
      </x:c>
      <x:c r="C15" s="104" t="str">
        <x:v>Jun</x:v>
      </x:c>
      <x:c r="D15" s="104" t="str">
        <x:v>Jul</x:v>
      </x:c>
      <x:c r="E15" s="104" t="str">
        <x:v>Aug</x:v>
      </x:c>
      <x:c r="F15" s="104" t="str">
        <x:v>Sep</x:v>
      </x:c>
      <x:c r="G15" s="104" t="str">
        <x:v>Oct</x:v>
      </x:c>
    </x:row>
    <x:row r="16">
      <x:c r="A16" s="126" t="str">
        <x:v>Expected Case</x:v>
      </x:c>
      <x:c r="B16" s="128" t="n">
        <x:f>'Expected Case'!N10</x:f>
        <x:v>14.817600000000002</x:v>
      </x:c>
      <x:c r="C16" s="128" t="n">
        <x:f>'Expected Case'!N15</x:f>
        <x:v>44.998949376000006</x:v>
      </x:c>
      <x:c r="D16" s="128" t="n">
        <x:f>'Expected Case'!N20</x:f>
        <x:v>94.35845364847609</x:v>
      </x:c>
      <x:c r="E16" s="128" t="n">
        <x:f>'Expected Case'!N25</x:f>
        <x:v>174.4761874106363</x:v>
      </x:c>
      <x:c r="F16" s="128" t="n">
        <x:f>'Expected Case'!N30</x:f>
        <x:v>294.8081793500901</x:v>
      </x:c>
      <x:c r="G16" s="128" t="n">
        <x:f>'Expected Case'!N35</x:f>
        <x:v>464.58367283112744</x:v>
      </x:c>
    </x:row>
    <x:row r="17">
      <x:c r="A17" s="126" t="str">
        <x:v>Best Case</x:v>
      </x:c>
      <x:c r="B17" s="128" t="n">
        <x:f>'Best Case'!N10</x:f>
        <x:v>34.65</x:v>
      </x:c>
      <x:c r="C17" s="128" t="n">
        <x:f>'Best Case'!N15</x:f>
        <x:v>106.46966400000002</x:v>
      </x:c>
      <x:c r="D17" s="128" t="n">
        <x:f>'Best Case'!N20</x:f>
        <x:v>232.4399876221338</x:v>
      </x:c>
      <x:c r="E17" s="128" t="n">
        <x:f>'Best Case'!N25</x:f>
        <x:v>432.443566130215</x:v>
      </x:c>
      <x:c r="F17" s="128" t="n">
        <x:f>'Best Case'!N30</x:f>
        <x:v>718.4251281870403</x:v>
      </x:c>
      <x:c r="G17" s="128" t="n">
        <x:f>'Best Case'!N35</x:f>
        <x:v>1117.1514206527595</x:v>
      </x:c>
    </x:row>
    <x:row r="18">
      <x:c r="A18" s="126" t="str">
        <x:v>Worst Case</x:v>
      </x:c>
      <x:c r="B18" s="128" t="n">
        <x:f>'Worst Case'!N10</x:f>
        <x:v>3.6959999999999997</x:v>
      </x:c>
      <x:c r="C18" s="128" t="n">
        <x:f>'Worst Case'!N15</x:f>
        <x:v>9.471282047999999</x:v>
      </x:c>
      <x:c r="D18" s="128" t="n">
        <x:f>'Worst Case'!N20</x:f>
        <x:v>18.00155916959561</x:v>
      </x:c>
      <x:c r="E18" s="128" t="n">
        <x:f>'Worst Case'!N25</x:f>
        <x:v>30.09027769667246</x:v>
      </x:c>
      <x:c r="F18" s="128" t="n">
        <x:f>'Worst Case'!N30</x:f>
        <x:v>46.67796979021844</x:v>
      </x:c>
      <x:c r="G18" s="128" t="n">
        <x:f>'Worst Case'!N35</x:f>
        <x:v>68.86053424957377</x:v>
      </x:c>
    </x:row>
    <x:row r="21">
      <x:c r="A21" s="104" t="str">
        <x:v>Scenario</x:v>
      </x:c>
      <x:c r="B21" s="104" t="str">
        <x:v>May</x:v>
      </x:c>
      <x:c r="C21" s="104" t="str">
        <x:v>Jun</x:v>
      </x:c>
      <x:c r="D21" s="104" t="str">
        <x:v>Jul</x:v>
      </x:c>
      <x:c r="E21" s="104" t="str">
        <x:v>Aug</x:v>
      </x:c>
      <x:c r="F21" s="104" t="str">
        <x:v>Sep</x:v>
      </x:c>
      <x:c r="G21" s="104" t="str">
        <x:v>Oct</x:v>
      </x:c>
    </x:row>
    <x:row r="22">
      <x:c r="A22" s="126" t="str">
        <x:v>Expected Case</x:v>
      </x:c>
      <x:c r="B22" s="130" t="n">
        <x:f>'Expected Case'!J10</x:f>
        <x:v>14.817600000000002</x:v>
      </x:c>
      <x:c r="C22" s="130" t="n">
        <x:f>'Expected Case'!J15</x:f>
        <x:v>30.181349376000004</x:v>
      </x:c>
      <x:c r="D22" s="130" t="n">
        <x:f>'Expected Case'!J20</x:f>
        <x:v>49.35950427247608</x:v>
      </x:c>
      <x:c r="E22" s="130" t="n">
        <x:f>'Expected Case'!J25</x:f>
        <x:v>80.11773376216021</x:v>
      </x:c>
      <x:c r="F22" s="130" t="n">
        <x:f>'Expected Case'!J30</x:f>
        <x:v>120.33199193945379</x:v>
      </x:c>
      <x:c r="G22" s="130" t="n">
        <x:f>'Expected Case'!J35</x:f>
        <x:v>169.77549348103736</x:v>
      </x:c>
    </x:row>
    <x:row r="23">
      <x:c r="A23" s="126" t="str">
        <x:v>Best Case</x:v>
      </x:c>
      <x:c r="B23" s="130" t="n">
        <x:f>'Best Case'!J10</x:f>
        <x:v>34.65</x:v>
      </x:c>
      <x:c r="C23" s="130" t="n">
        <x:f>'Best Case'!J15</x:f>
        <x:v>71.81966400000002</x:v>
      </x:c>
      <x:c r="D23" s="130" t="n">
        <x:f>'Best Case'!J20</x:f>
        <x:v>125.97032362213378</x:v>
      </x:c>
      <x:c r="E23" s="130" t="n">
        <x:f>'Best Case'!J25</x:f>
        <x:v>200.00357850808123</x:v>
      </x:c>
      <x:c r="F23" s="130" t="n">
        <x:f>'Best Case'!J30</x:f>
        <x:v>285.9815620568253</x:v>
      </x:c>
      <x:c r="G23" s="130" t="n">
        <x:f>'Best Case'!J35</x:f>
        <x:v>398.7262924657191</x:v>
      </x:c>
    </x:row>
    <x:row r="24">
      <x:c r="A24" s="126" t="str">
        <x:v>Worst Case</x:v>
      </x:c>
      <x:c r="B24" s="130" t="n">
        <x:f>'Worst Case'!J10</x:f>
        <x:v>3.6959999999999997</x:v>
      </x:c>
      <x:c r="C24" s="130" t="n">
        <x:f>'Worst Case'!J15</x:f>
        <x:v>5.775282047999999</x:v>
      </x:c>
      <x:c r="D24" s="130" t="n">
        <x:f>'Worst Case'!J20</x:f>
        <x:v>8.530277121595608</x:v>
      </x:c>
      <x:c r="E24" s="130" t="n">
        <x:f>'Worst Case'!J25</x:f>
        <x:v>12.08871852707685</x:v>
      </x:c>
      <x:c r="F24" s="130" t="n">
        <x:f>'Worst Case'!J30</x:f>
        <x:v>16.58769209354598</x:v>
      </x:c>
      <x:c r="G24" s="130" t="n">
        <x:f>'Worst Case'!J35</x:f>
        <x:v>22.182564459355333</x:v>
      </x:c>
    </x:row>
    <x:row r="27">
      <x:c r="A27" s="104" t="str">
        <x:v>Scenario</x:v>
      </x:c>
      <x:c r="B27" s="104" t="str">
        <x:v>May</x:v>
      </x:c>
      <x:c r="C27" s="104" t="str">
        <x:v>Jun</x:v>
      </x:c>
      <x:c r="D27" s="104" t="str">
        <x:v>Jul</x:v>
      </x:c>
      <x:c r="E27" s="104" t="str">
        <x:v>Aug</x:v>
      </x:c>
      <x:c r="F27" s="104" t="str">
        <x:v>Sep</x:v>
      </x:c>
      <x:c r="G27" s="104" t="str">
        <x:v>Oct</x:v>
      </x:c>
    </x:row>
    <x:row r="28">
      <x:c r="A28" s="126" t="str">
        <x:v>Expected Case</x:v>
      </x:c>
      <x:c r="B28" s="128" t="n">
        <x:f>'Expected Case'!P9</x:f>
        <x:v>8</x:v>
      </x:c>
      <x:c r="C28" s="128" t="n">
        <x:f>'Expected Case'!P14</x:f>
        <x:v>20</x:v>
      </x:c>
      <x:c r="D28" s="128" t="n">
        <x:f>'Expected Case'!P19</x:f>
        <x:v>36</x:v>
      </x:c>
      <x:c r="E28" s="128" t="n">
        <x:f>'Expected Case'!P24</x:f>
        <x:v>56</x:v>
      </x:c>
      <x:c r="F28" s="128" t="n">
        <x:f>'Expected Case'!P29</x:f>
        <x:v>80</x:v>
      </x:c>
      <x:c r="G28" s="128" t="n">
        <x:f>'Expected Case'!P34</x:f>
        <x:v>108</x:v>
      </x:c>
    </x:row>
    <x:row r="29">
      <x:c r="A29" s="126" t="str">
        <x:v>Best Case</x:v>
      </x:c>
      <x:c r="B29" s="128" t="n">
        <x:f>'Best Case'!P9</x:f>
        <x:v>10</x:v>
      </x:c>
      <x:c r="C29" s="128" t="n">
        <x:f>'Best Case'!P14</x:f>
        <x:v>26</x:v>
      </x:c>
      <x:c r="D29" s="128" t="n">
        <x:f>'Best Case'!P19</x:f>
        <x:v>48</x:v>
      </x:c>
      <x:c r="E29" s="128" t="n">
        <x:f>'Best Case'!P24</x:f>
        <x:v>78</x:v>
      </x:c>
      <x:c r="F29" s="128" t="n">
        <x:f>'Best Case'!P29</x:f>
        <x:v>114</x:v>
      </x:c>
      <x:c r="G29" s="128" t="n">
        <x:f>'Best Case'!P34</x:f>
        <x:v>158</x:v>
      </x:c>
    </x:row>
    <x:row r="30">
      <x:c r="A30" s="126" t="str">
        <x:v>Worst Case</x:v>
      </x:c>
      <x:c r="B30" s="128" t="n">
        <x:f>'Worst Case'!P9</x:f>
        <x:v>5</x:v>
      </x:c>
      <x:c r="C30" s="128" t="n">
        <x:f>'Worst Case'!P14</x:f>
        <x:v>12</x:v>
      </x:c>
      <x:c r="D30" s="128" t="n">
        <x:f>'Worst Case'!P19</x:f>
        <x:v>21</x:v>
      </x:c>
      <x:c r="E30" s="128" t="n">
        <x:f>'Worst Case'!P24</x:f>
        <x:v>31</x:v>
      </x:c>
      <x:c r="F30" s="128" t="n">
        <x:f>'Worst Case'!P29</x:f>
        <x:v>43</x:v>
      </x:c>
      <x:c r="G30" s="128" t="n">
        <x:f>'Worst Case'!P34</x:f>
        <x:v>57</x:v>
      </x:c>
    </x:row>
  </x:sheetData>
  <x:mergeCells>
    <x:mergeCell ref="A1:S1"/>
    <x:mergeCell ref="A2:S2"/>
    <x:mergeCell ref="A9:H9"/>
    <x:mergeCell ref="B10:H10"/>
    <x:mergeCell ref="B11:H11"/>
    <x:mergeCell ref="B12:H12"/>
  </x:mergeCells>
  <x:pageMargins left="0.7" right="0.7" top="0.75" bottom="0.75" header="0.3" footer="0.3"/>
  <x:drawing xmlns:r="http://schemas.openxmlformats.org/officeDocument/2006/relationships" r:id="Ra2f1c6cdaa6e40fb"/>
  <x:tableParts count="1">
    <x:tablePart xmlns:r="http://schemas.openxmlformats.org/officeDocument/2006/relationships" r:id="Rc6a51803f05d49c5"/>
  </x:tableParts>
</x:worksheet>
</file>